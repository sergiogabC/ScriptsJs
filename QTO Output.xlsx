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officedocument.model+data" Extension="data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customXmlProperties+xml" PartName="/customXml/itemProps5.xml"/>
  <Override ContentType="application/vnd.openxmlformats-officedocument.customXmlProperties+xml" PartName="/customXml/itemProps6.xml"/>
  <Override ContentType="application/vnd.openxmlformats-officedocument.customXmlProperties+xml" PartName="/customXml/itemProps7.xml"/>
  <Override ContentType="application/vnd.openxmlformats-officedocument.customXmlProperties+xml" PartName="/customXml/itemProps8.xml"/>
  <Override ContentType="application/vnd.openxmlformats-officedocument.customXmlProperties+xml" PartName="/customXml/itemProps9.xml"/>
  <Override ContentType="application/vnd.openxmlformats-officedocument.customXmlProperties+xml" PartName="/customXml/itemProps10.xml"/>
  <Override ContentType="application/vnd.openxmlformats-officedocument.customXmlProperties+xml" PartName="/customXml/itemProps11.xml"/>
  <Override ContentType="application/vnd.openxmlformats-officedocument.customXmlProperties+xml" PartName="/customXml/itemProps12.xml"/>
  <Override ContentType="application/vnd.openxmlformats-officedocument.customXmlProperties+xml" PartName="/customXml/itemProps13.xml"/>
  <Override ContentType="application/vnd.openxmlformats-officedocument.customXmlProperties+xml" PartName="/customXml/itemProps14.xml"/>
  <Override ContentType="application/vnd.openxmlformats-officedocument.customXmlProperties+xml" PartName="/customXml/itemProps15.xml"/>
  <Override ContentType="application/vnd.openxmlformats-officedocument.customXmlProperties+xml" PartName="/customXml/itemProps16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nnections+xml" PartName="/xl/connections.xml"/>
  <Override ContentType="application/vnd.openxmlformats-officedocument.drawing+xml" PartName="/xl/drawings/drawing1.xml"/>
  <Override ContentType="application/vnd.openxmlformats-officedocument.spreadsheetml.sheetMetadata+xml" PartName="/xl/metadata.xml"/>
  <Override ContentType="application/vnd.ms-excel.person+xml" PartName="/xl/persons/person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1.xml"/>
  <Override ContentType="application/vnd.openxmlformats-officedocument.spreadsheetml.pivotCacheRecords+xml" PartName="/xl/pivotCache/pivotCacheRecords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ms-excel.rdsupportingpropertybag+xml" PartName="/xl/richData/rdsupportingpropertybag.xml"/>
  <Override ContentType="application/vnd.ms-excel.rdsupportingpropertybagstructure+xml" PartName="/xl/richData/rdsupportingpropertybagstructure.xml"/>
  <Override ContentType="application/vnd.ms-excel.richstyles+xml" PartName="/xl/richData/richStyl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>
    <mc:Choice Requires="x15">
      <x15ac:absPath xmlns:x15ac="http://schemas.microsoft.com/office/spreadsheetml/2010/11/ac" url="C:\Users\Gabriel\Documents\ScriptsJS\modifiedExcel\src\main\resources\"/>
    </mc:Choice>
  </mc:AlternateContent>
  <xr:revisionPtr revIDLastSave="0" documentId="13_ncr:1_{D8868AEC-D1A2-4584-B8AC-BE51E933B5D6}" xr6:coauthVersionLast="47" xr6:coauthVersionMax="47" xr10:uidLastSave="{00000000-0000-0000-0000-000000000000}"/>
  <bookViews>
    <workbookView xWindow="20370" yWindow="-120" windowWidth="29040" windowHeight="15840" xr2:uid="{559EE86B-E566-4BE5-8285-192BD44DC6E3}"/>
  </bookViews>
  <sheets>
    <sheet name="QTO DB" sheetId="66" r:id="rId1"/>
    <sheet name="Margin Analysis" sheetId="65" r:id="rId2"/>
    <sheet name="Customer View" sheetId="68" r:id="rId3"/>
  </sheets>
  <definedNames>
    <definedName name="_xlnm._FilterDatabase" localSheetId="0" hidden="1">'QTO DB'!$A$24:$X$24</definedName>
    <definedName name="_xlcn.WorksheetConnection_QTOTEMPLATEJAN1724.xlsxTable1" hidden="1">Table1[]</definedName>
    <definedName name="Access_Points">#REF!</definedName>
    <definedName name="_xlnm.Print_Area" localSheetId="2">'Customer View'!$A$1:$G$64</definedName>
    <definedName name="Cabinets">#REF!</definedName>
    <definedName name="CustomerView">#REF!</definedName>
    <definedName name="Desktop_Pc">#REF!</definedName>
    <definedName name="Digital_Repository">#REF!</definedName>
    <definedName name="Installation___Support">#REF!</definedName>
    <definedName name="Managed_Capacity">#REF!</definedName>
    <definedName name="Network_O_M">#REF!</definedName>
    <definedName name="QTO_DB">Table1[]</definedName>
    <definedName name="Routers_Microtik">#REF!</definedName>
    <definedName name="Solar_Panels">#REF!</definedName>
    <definedName name="VSAT">#REF!</definedName>
    <definedName name="Web_Filetring">#REF!</definedName>
  </definedNames>
  <calcPr calcId="191029"/>
  <pivotCaches>
    <pivotCache cacheId="7" r:id="rId4"/>
    <pivotCache cacheId="12" r:id="rId5"/>
  </pivotCaches>
  <extLst>
    <ext uri="{140A7094-0E35-4892-8432-C4D2E57EDEB5}">
      <x15:workbookPr chartTrackingRefBase="1"/>
    </ext>
    <ext uri="{FCE2AD5D-F65C-4FA6-A056-5C36A1767C68}">
      <x15:dataModel>
        <x15:modelTables>
          <x15:modelTable id="Table1" name="Table1" connection="WorksheetConnection_QTO TEMPLATE JAN1724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68" l="1"/>
  <c r="G25" i="66" l="1"/>
  <c r="K25" i="66" l="1"/>
  <c r="C7" i="66" l="1"/>
  <c r="C13" i="66" l="1"/>
  <c r="C16" i="66"/>
  <c r="G6" i="66" l="1"/>
  <c r="F6" i="66" l="1"/>
  <c r="O25" i="66"/>
  <c r="L25" i="66"/>
  <c r="M25" i="66" s="1"/>
  <c r="P25" i="66" l="1"/>
  <c r="C22" i="66" l="1"/>
  <c r="C9" i="66"/>
  <c r="B8" i="68"/>
  <c r="F3" i="68"/>
  <c r="V25" i="66"/>
  <c r="C4" i="65" l="1"/>
  <c r="W25" i="66" l="1"/>
  <c r="B15" i="68"/>
  <c r="R25" i="66"/>
  <c r="S25" i="66"/>
  <c r="C2" i="65"/>
  <c r="F5" i="66" l="1"/>
  <c r="G5" i="66"/>
  <c r="T25" i="66"/>
  <c r="U25" i="66"/>
  <c r="C14" i="66"/>
  <c r="C3" i="65"/>
  <c r="H5" i="66" l="1"/>
  <c r="F7" i="66" l="1"/>
  <c r="F14" i="66" s="1"/>
  <c r="H6" i="66"/>
  <c r="G7" i="66"/>
  <c r="H7" i="66" l="1"/>
  <c r="G14" i="66"/>
  <c r="H14" i="6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E964C0-1950-4C7F-98D0-A1E47B7263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6188624-D0F6-4568-B340-36012C992DCA}" name="WorksheetConnection_QTO TEMPLATE JAN1724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QTOTEMPLATEJAN1724.xlsxTable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1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<sst xmlns="http://schemas.openxmlformats.org/spreadsheetml/2006/main" count="133" uniqueCount="106">
  <si>
    <t>CAPEX</t>
  </si>
  <si>
    <t>OPEX</t>
  </si>
  <si>
    <t>Sites</t>
  </si>
  <si>
    <t>Margin</t>
  </si>
  <si>
    <t>Type</t>
  </si>
  <si>
    <t>Profit Margin</t>
  </si>
  <si>
    <t>UIT</t>
  </si>
  <si>
    <t>% sites with Penalties / month</t>
  </si>
  <si>
    <t>Description</t>
  </si>
  <si>
    <t>Qty</t>
  </si>
  <si>
    <t>COST</t>
  </si>
  <si>
    <t>PRICE</t>
  </si>
  <si>
    <t>Inputs</t>
  </si>
  <si>
    <t>HUGHES T19 Number of Sites</t>
  </si>
  <si>
    <t>Sites out of coverage</t>
  </si>
  <si>
    <t>Number of Sites</t>
  </si>
  <si>
    <t>Average Mbps per Site</t>
  </si>
  <si>
    <t>COST - HUGHES  Ka band Mbps / Month (USD)</t>
  </si>
  <si>
    <t>Remote Spares</t>
  </si>
  <si>
    <t>Total of Spares</t>
  </si>
  <si>
    <t>Total capacity SES-17 (Mbps)</t>
  </si>
  <si>
    <t>Total Ka band Capacity (Mbps)</t>
  </si>
  <si>
    <t>COST - SES Ka band Mbps / Month (USD)</t>
  </si>
  <si>
    <t xml:space="preserve">Contract </t>
  </si>
  <si>
    <t>Manufacturer Part #</t>
  </si>
  <si>
    <t>Product Code</t>
  </si>
  <si>
    <t>Unit Price</t>
  </si>
  <si>
    <t>Unit Cost</t>
  </si>
  <si>
    <t>Ext. Cost</t>
  </si>
  <si>
    <t>1505216-0332</t>
  </si>
  <si>
    <t>HT2010</t>
  </si>
  <si>
    <t>HT2010 Consumer Broadband Satellite Router, Ka Band only</t>
  </si>
  <si>
    <t>Discount</t>
  </si>
  <si>
    <t>MARGIN</t>
  </si>
  <si>
    <t>Price x Site x Month</t>
  </si>
  <si>
    <t>Cost x Site x Month</t>
  </si>
  <si>
    <t>Owner</t>
  </si>
  <si>
    <t>HNS</t>
  </si>
  <si>
    <t>VSAT</t>
  </si>
  <si>
    <t>Hughes Equipment</t>
  </si>
  <si>
    <t>Notes</t>
  </si>
  <si>
    <t>Category</t>
  </si>
  <si>
    <t>Subcategory</t>
  </si>
  <si>
    <t>Total Mbps</t>
  </si>
  <si>
    <t>Contract Term</t>
  </si>
  <si>
    <t>Unit Disc. Price</t>
  </si>
  <si>
    <t>Ext. Disc. Price</t>
  </si>
  <si>
    <t>Monthly Cost per Site</t>
  </si>
  <si>
    <t>Disct. Ext. Price</t>
  </si>
  <si>
    <t>Ext. Cost.</t>
  </si>
  <si>
    <t>% of Project</t>
  </si>
  <si>
    <t>Monthly Cost / Site</t>
  </si>
  <si>
    <t>MARGIN ANALYSIS SUMMARY</t>
  </si>
  <si>
    <t>Monthly Cost per Mbps</t>
  </si>
  <si>
    <t>Monthly Cost / Mbps</t>
  </si>
  <si>
    <t>Monthly Price per Site</t>
  </si>
  <si>
    <t>Monthly Price / Site</t>
  </si>
  <si>
    <t>Monthly Price per Mbps</t>
  </si>
  <si>
    <t>Monthly Price / Mbps</t>
  </si>
  <si>
    <t>Unit of Measure</t>
  </si>
  <si>
    <t>Unit</t>
  </si>
  <si>
    <t>Finance?</t>
  </si>
  <si>
    <t>CAPEX Financing Rate</t>
  </si>
  <si>
    <t>Financed CAPEX</t>
  </si>
  <si>
    <t>Financed Monthly Price per Site</t>
  </si>
  <si>
    <t>NRC</t>
  </si>
  <si>
    <t>QUOTE</t>
  </si>
  <si>
    <t>Quote #:</t>
  </si>
  <si>
    <t xml:space="preserve">Date: </t>
  </si>
  <si>
    <t>QTO_000XXXX-00</t>
  </si>
  <si>
    <t>DO NOT DISTRIBUTE</t>
  </si>
  <si>
    <t>Prepared For:</t>
  </si>
  <si>
    <t>Client:</t>
  </si>
  <si>
    <t>Prepared By:</t>
  </si>
  <si>
    <t>Proposal Manager:</t>
  </si>
  <si>
    <t>Item</t>
  </si>
  <si>
    <t xml:space="preserve"> Unit Price</t>
  </si>
  <si>
    <t xml:space="preserve"> Unit Disc. Price</t>
  </si>
  <si>
    <t xml:space="preserve"> Ext. Disc. Price</t>
  </si>
  <si>
    <t xml:space="preserve"> Discount</t>
  </si>
  <si>
    <t xml:space="preserve">  Monthly Price per Site</t>
  </si>
  <si>
    <t>Monthly Recurring Payment per Site</t>
  </si>
  <si>
    <t>One Time Payment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</si>
  <si>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</si>
  <si>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</si>
  <si>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</si>
  <si>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</si>
  <si>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</si>
  <si>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</si>
  <si>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</si>
  <si>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</si>
  <si>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</si>
  <si>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Service</t>
  </si>
  <si>
    <t>Unlimited Satellite Internet Service (Includes 74cm ant.,2W Radio and HT2000W IDU)</t>
  </si>
  <si>
    <t>PERU</t>
  </si>
  <si>
    <t xml:space="preserve">Service Plan </t>
  </si>
  <si>
    <t>Country</t>
  </si>
  <si>
    <t>Overbooking</t>
  </si>
  <si>
    <t>Total general</t>
  </si>
  <si>
    <t>JUAN ASTO</t>
  </si>
  <si>
    <t>.30/5</t>
  </si>
  <si>
    <t>MINEDU</t>
  </si>
  <si>
    <t>Terminal Unit Price (USD) - ExWorks USA</t>
  </si>
  <si>
    <t>1506560-0021+1506561-0021</t>
  </si>
  <si>
    <t>ANTENA 90CM</t>
  </si>
  <si>
    <t>90cm Ka-Band Saturated Antenna (Single IFL) 1pk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</si>
</sst>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44" formatCode="_-&quot;S/&quot;\ * #,##0.00_-;\-&quot;S/&quot;\ * #,##0.00_-;_-&quot;S/&quot;\ 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%"/>
    <numFmt numFmtId="168" formatCode="0.0"/>
    <numFmt numFmtId="169" formatCode="_-[$KUSD]\ * #,##0.00_-;\-[$KUSD]\ * #,##0.00_-;_-[$KUSD]\ * &quot;-&quot;??_-;_-@_-"/>
    <numFmt numFmtId="170" formatCode="_([$USD]\ * #,##0.00_);_([$USD]\ * \(#,##0.00\);_([$USD]\ * &quot;-&quot;??_);_(@_)"/>
    <numFmt numFmtId="171" formatCode="[$S/-280A]\ #,##0.00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name val="Trebuchet MS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name val="Calibri"/>
      <family val="2"/>
    </font>
    <font>
      <u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theme="4" tint="-0.249977111117893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4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2" fillId="0" borderId="0"/>
    <xf numFmtId="0" fontId="21" fillId="0" borderId="0"/>
    <xf numFmtId="0" fontId="4" fillId="0" borderId="0"/>
  </cellStyleXfs>
  <cellXfs count="126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/>
    <xf numFmtId="3" fontId="9" fillId="5" borderId="1" xfId="0" applyNumberFormat="1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3" fontId="6" fillId="5" borderId="1" xfId="0" applyNumberFormat="1" applyFont="1" applyFill="1" applyBorder="1" applyAlignment="1">
      <alignment horizontal="left"/>
    </xf>
    <xf numFmtId="168" fontId="6" fillId="5" borderId="1" xfId="0" applyNumberFormat="1" applyFont="1" applyFill="1" applyBorder="1" applyAlignment="1">
      <alignment horizontal="left"/>
    </xf>
    <xf numFmtId="10" fontId="9" fillId="5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6" fillId="0" borderId="0" xfId="0" applyNumberFormat="1" applyFont="1" applyAlignment="1">
      <alignment horizontal="center"/>
    </xf>
    <xf numFmtId="0" fontId="8" fillId="3" borderId="3" xfId="0" applyFont="1" applyFill="1" applyBorder="1"/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/>
    <xf numFmtId="0" fontId="2" fillId="4" borderId="1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1" fillId="10" borderId="8" xfId="0" applyFont="1" applyFill="1" applyBorder="1" applyAlignment="1">
      <alignment horizontal="right"/>
    </xf>
    <xf numFmtId="3" fontId="0" fillId="11" borderId="8" xfId="0" applyNumberFormat="1" applyFill="1" applyBorder="1" applyAlignment="1">
      <alignment horizontal="center"/>
    </xf>
    <xf numFmtId="0" fontId="1" fillId="8" borderId="8" xfId="0" applyFont="1" applyFill="1" applyBorder="1" applyAlignment="1">
      <alignment horizontal="right"/>
    </xf>
    <xf numFmtId="3" fontId="0" fillId="8" borderId="8" xfId="0" applyNumberFormat="1" applyFill="1" applyBorder="1" applyAlignment="1">
      <alignment horizontal="center"/>
    </xf>
    <xf numFmtId="0" fontId="5" fillId="6" borderId="0" xfId="0" applyFont="1" applyFill="1" applyAlignment="1">
      <alignment horizontal="right"/>
    </xf>
    <xf numFmtId="0" fontId="5" fillId="6" borderId="6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 vertical="center"/>
    </xf>
    <xf numFmtId="165" fontId="0" fillId="5" borderId="1" xfId="3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wrapText="1"/>
    </xf>
    <xf numFmtId="0" fontId="13" fillId="0" borderId="0" xfId="0" applyFont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/>
    </xf>
    <xf numFmtId="0" fontId="14" fillId="9" borderId="0" xfId="0" applyFont="1" applyFill="1" applyAlignment="1">
      <alignment horizontal="center" vertical="center" wrapText="1"/>
    </xf>
    <xf numFmtId="0" fontId="0" fillId="2" borderId="0" xfId="0" applyFill="1"/>
    <xf numFmtId="0" fontId="15" fillId="13" borderId="0" xfId="0" applyFont="1" applyFill="1"/>
    <xf numFmtId="0" fontId="19" fillId="0" borderId="0" xfId="0" applyFont="1" applyAlignment="1">
      <alignment horizontal="right"/>
    </xf>
    <xf numFmtId="0" fontId="16" fillId="0" borderId="0" xfId="0" applyFont="1"/>
    <xf numFmtId="0" fontId="1" fillId="2" borderId="0" xfId="0" applyFont="1" applyFill="1"/>
    <xf numFmtId="14" fontId="0" fillId="0" borderId="0" xfId="0" applyNumberFormat="1"/>
    <xf numFmtId="0" fontId="16" fillId="2" borderId="0" xfId="0" applyFont="1" applyFill="1"/>
    <xf numFmtId="0" fontId="20" fillId="0" borderId="0" xfId="0" applyFont="1" applyAlignment="1">
      <alignment horizontal="right"/>
    </xf>
    <xf numFmtId="0" fontId="16" fillId="0" borderId="5" xfId="0" applyFont="1" applyBorder="1"/>
    <xf numFmtId="0" fontId="16" fillId="0" borderId="2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7" fillId="14" borderId="10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vertical="center" wrapText="1"/>
    </xf>
    <xf numFmtId="170" fontId="16" fillId="0" borderId="0" xfId="0" applyNumberFormat="1" applyFont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6" fillId="0" borderId="2" xfId="0" pivotButton="1" applyFont="1" applyBorder="1" applyAlignment="1">
      <alignment horizontal="center" vertical="center" wrapText="1"/>
    </xf>
    <xf numFmtId="0" fontId="16" fillId="0" borderId="2" xfId="0" pivotButton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70" fontId="16" fillId="0" borderId="2" xfId="0" applyNumberFormat="1" applyFont="1" applyBorder="1" applyAlignment="1">
      <alignment vertical="center" wrapText="1"/>
    </xf>
    <xf numFmtId="170" fontId="16" fillId="0" borderId="2" xfId="0" applyNumberFormat="1" applyFont="1" applyBorder="1"/>
    <xf numFmtId="9" fontId="16" fillId="0" borderId="2" xfId="0" applyNumberFormat="1" applyFont="1" applyBorder="1" applyAlignment="1">
      <alignment horizontal="center"/>
    </xf>
    <xf numFmtId="0" fontId="15" fillId="7" borderId="13" xfId="0" applyFont="1" applyFill="1" applyBorder="1"/>
    <xf numFmtId="0" fontId="16" fillId="0" borderId="14" xfId="0" applyFont="1" applyBorder="1"/>
    <xf numFmtId="170" fontId="1" fillId="7" borderId="2" xfId="0" applyNumberFormat="1" applyFont="1" applyFill="1" applyBorder="1"/>
    <xf numFmtId="0" fontId="18" fillId="0" borderId="0" xfId="0" applyFont="1"/>
    <xf numFmtId="0" fontId="1" fillId="7" borderId="15" xfId="0" applyFont="1" applyFill="1" applyBorder="1"/>
    <xf numFmtId="0" fontId="1" fillId="7" borderId="16" xfId="0" applyFont="1" applyFill="1" applyBorder="1"/>
    <xf numFmtId="0" fontId="1" fillId="7" borderId="17" xfId="0" applyFont="1" applyFill="1" applyBorder="1"/>
    <xf numFmtId="170" fontId="1" fillId="7" borderId="18" xfId="0" applyNumberFormat="1" applyFont="1" applyFill="1" applyBorder="1"/>
    <xf numFmtId="170" fontId="1" fillId="7" borderId="19" xfId="0" applyNumberFormat="1" applyFont="1" applyFill="1" applyBorder="1"/>
    <xf numFmtId="170" fontId="1" fillId="7" borderId="20" xfId="0" applyNumberFormat="1" applyFont="1" applyFill="1" applyBorder="1"/>
    <xf numFmtId="0" fontId="17" fillId="14" borderId="11" xfId="0" applyFont="1" applyFill="1" applyBorder="1" applyAlignment="1">
      <alignment vertical="center"/>
    </xf>
    <xf numFmtId="3" fontId="16" fillId="0" borderId="9" xfId="0" applyNumberFormat="1" applyFont="1" applyBorder="1" applyAlignment="1">
      <alignment vertical="center"/>
    </xf>
    <xf numFmtId="0" fontId="19" fillId="0" borderId="0" xfId="0" applyFont="1"/>
    <xf numFmtId="3" fontId="0" fillId="0" borderId="0" xfId="0" applyNumberFormat="1" applyAlignment="1">
      <alignment vertical="center"/>
    </xf>
    <xf numFmtId="0" fontId="16" fillId="0" borderId="15" xfId="0" pivotButton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170" fontId="16" fillId="0" borderId="21" xfId="0" applyNumberFormat="1" applyFont="1" applyBorder="1" applyAlignment="1">
      <alignment horizontal="center" vertical="center" wrapText="1"/>
    </xf>
    <xf numFmtId="0" fontId="16" fillId="0" borderId="2" xfId="0" pivotButton="1" applyFont="1" applyBorder="1" applyAlignment="1">
      <alignment wrapText="1"/>
    </xf>
    <xf numFmtId="0" fontId="16" fillId="0" borderId="2" xfId="0" applyFont="1" applyBorder="1" applyAlignment="1">
      <alignment horizontal="left"/>
    </xf>
    <xf numFmtId="0" fontId="16" fillId="0" borderId="2" xfId="0" applyFont="1" applyBorder="1" applyAlignment="1">
      <alignment horizontal="center" indent="1"/>
    </xf>
    <xf numFmtId="3" fontId="16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0" fillId="0" borderId="0" xfId="2" applyFont="1" applyFill="1" applyBorder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left"/>
    </xf>
    <xf numFmtId="3" fontId="9" fillId="5" borderId="1" xfId="0" quotePrefix="1" applyNumberFormat="1" applyFont="1" applyFill="1" applyBorder="1" applyAlignment="1">
      <alignment horizontal="left"/>
    </xf>
    <xf numFmtId="171" fontId="6" fillId="5" borderId="1" xfId="0" applyNumberFormat="1" applyFont="1" applyFill="1" applyBorder="1" applyAlignment="1">
      <alignment horizontal="left"/>
    </xf>
    <xf numFmtId="9" fontId="9" fillId="5" borderId="1" xfId="2" applyFont="1" applyFill="1" applyBorder="1" applyAlignment="1">
      <alignment horizontal="left"/>
    </xf>
    <xf numFmtId="165" fontId="6" fillId="0" borderId="0" xfId="3" applyFont="1" applyAlignment="1">
      <alignment horizontal="center"/>
    </xf>
    <xf numFmtId="167" fontId="0" fillId="0" borderId="0" xfId="0" applyNumberFormat="1" applyAlignment="1">
      <alignment horizontal="center"/>
    </xf>
    <xf numFmtId="43" fontId="6" fillId="0" borderId="0" xfId="0" applyNumberFormat="1" applyFont="1" applyAlignment="1">
      <alignment horizontal="center"/>
    </xf>
    <xf numFmtId="43" fontId="6" fillId="0" borderId="0" xfId="0" applyNumberFormat="1" applyFont="1" applyAlignment="1">
      <alignment horizontal="left"/>
    </xf>
    <xf numFmtId="0" fontId="13" fillId="5" borderId="0" xfId="0" applyFont="1" applyFill="1" applyAlignment="1">
      <alignment horizontal="left" vertical="center" wrapText="1"/>
    </xf>
    <xf numFmtId="0" fontId="16" fillId="0" borderId="2" xfId="0" applyFont="1" applyBorder="1" applyAlignment="1"/>
    <xf numFmtId="0" fontId="22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5" fillId="6" borderId="0" xfId="0" applyFont="1" applyFill="1" applyAlignment="1">
      <alignment horizontal="right"/>
    </xf>
    <xf numFmtId="0" fontId="5" fillId="6" borderId="6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0" fontId="5" fillId="6" borderId="7" xfId="0" applyFont="1" applyFill="1" applyBorder="1" applyAlignment="1">
      <alignment horizontal="right"/>
    </xf>
    <xf numFmtId="0" fontId="1" fillId="12" borderId="0" xfId="0" applyFont="1" applyFill="1" applyAlignment="1">
      <alignment horizontal="center"/>
    </xf>
    <xf numFmtId="0" fontId="13" fillId="5" borderId="0" xfId="0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9" fontId="13" fillId="5" borderId="0" xfId="2" applyFont="1" applyFill="1" applyAlignment="1">
      <alignment horizontal="center" vertical="center"/>
    </xf>
    <xf numFmtId="165" fontId="13" fillId="5" borderId="0" xfId="3" applyFont="1" applyFill="1" applyAlignment="1">
      <alignment horizontal="center" vertical="center"/>
    </xf>
    <xf numFmtId="165" fontId="13" fillId="9" borderId="0" xfId="3" applyFont="1" applyFill="1" applyAlignment="1">
      <alignment horizontal="center" vertical="center"/>
    </xf>
    <xf numFmtId="9" fontId="13" fillId="9" borderId="0" xfId="2" applyFont="1" applyFill="1" applyAlignment="1">
      <alignment horizontal="center" vertical="center"/>
    </xf>
    <xf numFmtId="165" fontId="13" fillId="9" borderId="0" xfId="0" applyNumberFormat="1" applyFont="1" applyFill="1" applyAlignment="1">
      <alignment horizontal="center" vertical="center"/>
    </xf>
    <xf numFmtId="164" fontId="13" fillId="9" borderId="0" xfId="0" applyNumberFormat="1" applyFont="1" applyFill="1" applyAlignment="1">
      <alignment horizontal="center" vertical="center"/>
    </xf>
  </cellXfs>
  <cellStyles count="14">
    <cellStyle name="Currency 2" xfId="4" xr:uid="{91E91EF6-B325-468C-B5D3-9A7A982E2E05}"/>
    <cellStyle name="Currency 2 2" xfId="6" xr:uid="{8B599652-8067-4FFE-A9E2-CA2B6581863E}"/>
    <cellStyle name="Currency 2 2 2 2 2" xfId="8" xr:uid="{DC6ED2BE-EED6-4C84-AF27-1627DAC355C6}"/>
    <cellStyle name="Currency 3 2 2" xfId="7" xr:uid="{35DE2DB3-08BB-486D-9DE6-C29BC5A0C4B6}"/>
    <cellStyle name="Millares 2" xfId="1" xr:uid="{12A1D27C-8C71-4051-8C44-31BB0837A023}"/>
    <cellStyle name="Moneda" xfId="3" builtinId="4"/>
    <cellStyle name="Normal" xfId="0" builtinId="0"/>
    <cellStyle name="Normal 2" xfId="10" xr:uid="{683F49F9-F42C-4745-A55B-4DDCADFF6A11}"/>
    <cellStyle name="Normal 2 2 2 2" xfId="5" xr:uid="{77746AD9-8939-4BA7-B515-649945F2B5FB}"/>
    <cellStyle name="Normal 2 5" xfId="11" xr:uid="{AB60522C-5F8E-484F-9AC3-16BDAA9A0C40}"/>
    <cellStyle name="Normal 3" xfId="12" xr:uid="{E26D19C6-E659-458F-BAE5-597C1F9D688A}"/>
    <cellStyle name="Normal 9" xfId="13" xr:uid="{A9F3F9B5-5563-43BD-87B0-F77BCA55E358}"/>
    <cellStyle name="Porcentaje" xfId="2" builtinId="5"/>
    <cellStyle name="Pourcentage 2" xfId="9" xr:uid="{76F879A9-8E47-4CDC-A93C-A845D98CE9C7}"/>
  </cellStyles>
  <dxfs count="3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/>
    </dxf>
    <dxf>
      <numFmt numFmtId="14" formatCode="0.00%"/>
    </dxf>
    <dxf>
      <numFmt numFmtId="169" formatCode="_-[$KUSD]\ * #,##0.00_-;\-[$KUSD]\ * #,##0.00_-;_-[$KUSD]\ * &quot;-&quot;??_-;_-@_-"/>
    </dxf>
    <dxf>
      <numFmt numFmtId="169" formatCode="_-[$KUSD]\ * #,##0.00_-;\-[$KUSD]\ * #,##0.00_-;_-[$KUSD]\ * &quot;-&quot;??_-;_-@_-"/>
    </dxf>
    <dxf>
      <alignment horizontal="center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67" formatCode="0.0%"/>
    </dxf>
    <dxf>
      <numFmt numFmtId="170" formatCode="_([$USD]\ * #,##0.00_);_([$USD]\ * \(#,##0.00\);_([$USD]\ * &quot;-&quot;??_);_(@_)"/>
    </dxf>
    <dxf>
      <numFmt numFmtId="13" formatCode="0%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left"/>
    </dxf>
    <dxf>
      <alignment horizontal="right" indent="1"/>
    </dxf>
    <dxf>
      <alignment horizontal="right" 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general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general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indent="1"/>
    </dxf>
    <dxf>
      <alignment horizontal="right" indent="1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3" formatCode="0%"/>
    </dxf>
    <dxf>
      <numFmt numFmtId="170" formatCode="_([$USD]\ * #,##0.00_);_([$USD]\ * \(#,##0.00\);_([$USD]\ * &quot;-&quot;??_);_(@_)"/>
    </dxf>
    <dxf>
      <numFmt numFmtId="167" formatCode="0.0%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alignment horizontal="center"/>
    </dxf>
    <dxf>
      <numFmt numFmtId="169" formatCode="_-[$KUSD]\ * #,##0.00_-;\-[$KUSD]\ * #,##0.00_-;_-[$KUSD]\ * &quot;-&quot;??_-;_-@_-"/>
    </dxf>
    <dxf>
      <numFmt numFmtId="169" formatCode="_-[$KUSD]\ * #,##0.00_-;\-[$KUSD]\ * #,##0.00_-;_-[$KUSD]\ * &quot;-&quot;??_-;_-@_-"/>
    </dxf>
    <dxf>
      <numFmt numFmtId="14" formatCode="0.00%"/>
    </dxf>
    <dxf>
      <alignment horizontal="center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metadata.xml" Type="http://schemas.openxmlformats.org/officeDocument/2006/relationships/sheetMetadata"/><Relationship Id="rId11" Target="richData/rdrichvalue.xml" Type="http://schemas.microsoft.com/office/2017/06/relationships/rdRichValue"/><Relationship Id="rId12" Target="richData/rdrichvaluestructure.xml" Type="http://schemas.microsoft.com/office/2017/06/relationships/rdRichValueStructure"/><Relationship Id="rId13" Target="richData/richStyles.xml" Type="http://schemas.microsoft.com/office/2017/06/relationships/richStyles"/><Relationship Id="rId14" Target="richData/rdsupportingpropertybagstructure.xml" Type="http://schemas.microsoft.com/office/2017/06/relationships/rdSupportingPropertyBagStructure"/><Relationship Id="rId15" Target="richData/rdsupportingpropertybag.xml" Type="http://schemas.microsoft.com/office/2017/06/relationships/rdSupportingPropertyBag"/><Relationship Id="rId16" Target="richData/rdRichValueTypes.xml" Type="http://schemas.microsoft.com/office/2017/06/relationships/rdRichValueTypes"/><Relationship Id="rId17" Target="model/item.data" Type="http://schemas.openxmlformats.org/officeDocument/2006/relationships/powerPivotData"/><Relationship Id="rId18" Target="calcChain.xml" Type="http://schemas.openxmlformats.org/officeDocument/2006/relationships/calcChain"/><Relationship Id="rId19" Target="../customXml/item1.xml" Type="http://schemas.openxmlformats.org/officeDocument/2006/relationships/customXml"/><Relationship Id="rId2" Target="worksheets/sheet2.xml" Type="http://schemas.openxmlformats.org/officeDocument/2006/relationships/worksheet"/><Relationship Id="rId20" Target="../customXml/item2.xml" Type="http://schemas.openxmlformats.org/officeDocument/2006/relationships/customXml"/><Relationship Id="rId21" Target="../customXml/item3.xml" Type="http://schemas.openxmlformats.org/officeDocument/2006/relationships/customXml"/><Relationship Id="rId22" Target="../customXml/item4.xml" Type="http://schemas.openxmlformats.org/officeDocument/2006/relationships/customXml"/><Relationship Id="rId23" Target="../customXml/item5.xml" Type="http://schemas.openxmlformats.org/officeDocument/2006/relationships/customXml"/><Relationship Id="rId24" Target="../customXml/item6.xml" Type="http://schemas.openxmlformats.org/officeDocument/2006/relationships/customXml"/><Relationship Id="rId25" Target="../customXml/item7.xml" Type="http://schemas.openxmlformats.org/officeDocument/2006/relationships/customXml"/><Relationship Id="rId26" Target="../customXml/item8.xml" Type="http://schemas.openxmlformats.org/officeDocument/2006/relationships/customXml"/><Relationship Id="rId27" Target="../customXml/item9.xml" Type="http://schemas.openxmlformats.org/officeDocument/2006/relationships/customXml"/><Relationship Id="rId28" Target="../customXml/item10.xml" Type="http://schemas.openxmlformats.org/officeDocument/2006/relationships/customXml"/><Relationship Id="rId29" Target="../customXml/item11.xml" Type="http://schemas.openxmlformats.org/officeDocument/2006/relationships/customXml"/><Relationship Id="rId3" Target="worksheets/sheet3.xml" Type="http://schemas.openxmlformats.org/officeDocument/2006/relationships/worksheet"/><Relationship Id="rId30" Target="../customXml/item12.xml" Type="http://schemas.openxmlformats.org/officeDocument/2006/relationships/customXml"/><Relationship Id="rId31" Target="../customXml/item13.xml" Type="http://schemas.openxmlformats.org/officeDocument/2006/relationships/customXml"/><Relationship Id="rId32" Target="../customXml/item14.xml" Type="http://schemas.openxmlformats.org/officeDocument/2006/relationships/customXml"/><Relationship Id="rId33" Target="../customXml/item15.xml" Type="http://schemas.openxmlformats.org/officeDocument/2006/relationships/customXml"/><Relationship Id="rId34" Target="../customXml/item16.xml" Type="http://schemas.openxmlformats.org/officeDocument/2006/relationships/customXml"/><Relationship Id="rId4" Target="pivotCache/pivotCacheDefinition1.xml" Type="http://schemas.openxmlformats.org/officeDocument/2006/relationships/pivotCacheDefinition"/><Relationship Id="rId5" Target="pivotCache/pivotCacheDefinition2.xml" Type="http://schemas.openxmlformats.org/officeDocument/2006/relationships/pivotCacheDefinition"/><Relationship Id="rId50" Target="persons/person.xml" Type="http://schemas.microsoft.com/office/2017/10/relationships/person"/><Relationship Id="rId6" Target="theme/theme1.xml" Type="http://schemas.openxmlformats.org/officeDocument/2006/relationships/theme"/><Relationship Id="rId7" Target="connections.xml" Type="http://schemas.openxmlformats.org/officeDocument/2006/relationships/connections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19050</xdr:rowOff>
    </xdr:from>
    <xdr:to>
      <xdr:col>0</xdr:col>
      <xdr:colOff>1657442</xdr:colOff>
      <xdr:row>5</xdr:row>
      <xdr:rowOff>171670</xdr:rowOff>
    </xdr:to>
    <xdr:pic>
      <xdr:nvPicPr>
        <xdr:cNvPr id="2" name="Picture 1" descr="A blue and black text  Description automatically generated">
          <a:extLst>
            <a:ext uri="{FF2B5EF4-FFF2-40B4-BE49-F238E27FC236}">
              <a16:creationId xmlns:a16="http://schemas.microsoft.com/office/drawing/2014/main" id="{A91261AC-3B0E-4A2F-9267-531D8EF38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09550"/>
          <a:ext cx="1638300" cy="9135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hri, Ravin" id="{770C1132-3992-4262-9B0F-7860D492C0F8}" userId="S::Ravin.Ohri@hughes.com::6e76f329-f899-4121-b82d-29a501099006" providerId="AD"/>
</personList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_rels/pivotCacheDefinition2.xml.rels><?xml version="1.0" encoding="UTF-8" standalone="yes"?><Relationships xmlns="http://schemas.openxmlformats.org/package/2006/relationships"><Relationship Id="rId1" Target="pivotCacheRecords2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69.555655439814" createdVersion="8" refreshedVersion="7" minRefreshableVersion="3" recordCount="1" xr:uid="{C1B9D813-D72F-4CB7-A64A-9E422DE22F0C}">
  <cacheSource type="worksheet">
    <worksheetSource name="Table1"/>
  </cacheSource>
  <cacheFields count="24">
    <cacheField name="Type" numFmtId="0">
      <sharedItems/>
    </cacheField>
    <cacheField name="Category" numFmtId="0">
      <sharedItems/>
    </cacheField>
    <cacheField name="Subcategory" numFmtId="0">
      <sharedItems count="42">
        <s v="VSAT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Instalacion" u="1"/>
        <s v="Cabinets" u="1"/>
        <s v="Smart TV" u="1"/>
        <s v="Desktop Pc" u="1"/>
        <s v="Project Manager" u="1"/>
        <s v="Laptop" u="1"/>
        <s v="Access Points" u="1"/>
        <s v="Installation &amp; Support" u="1"/>
        <s v="Ka Band Managed Capacity" u="1"/>
        <s v="Training" u="1"/>
        <s v="GEO Managed Capacity" u="1"/>
        <s v="International Link" u="1"/>
        <s v="Network O&amp;M" u="1"/>
        <s v="GEO Jupiter VSAT" u="1"/>
        <s v="Cabinet" u="1"/>
        <s v="Security Cams" u="1"/>
        <s v="Web Filtering" u="1"/>
        <s v="Bond" u="1"/>
        <s v="Tables" u="1"/>
        <s v="Digital Repository" u="1"/>
        <s v="Monitoreo" u="1"/>
        <s v="Solar Panel" u="1"/>
        <s v="Network Operations" u="1"/>
        <s v="OW Hughes ESA" u="1"/>
        <s v="Ticketing" u="1"/>
        <s v="ONE Web Service Plan" u="1"/>
        <s v="Managed Capacity" u="1"/>
        <s v="Miscellany" u="1"/>
        <s v="SPARE" u="1"/>
        <s v="Web Filetring" u="1"/>
        <s v="Routers Microtik" u="1"/>
        <s v="Operations" u="1"/>
        <s v="Solar Panels" u="1"/>
        <s v="Internet Service" u="1"/>
        <s v="Equipos de Terceros" u="1"/>
      </sharedItems>
    </cacheField>
    <cacheField name="Manufacturer Part #" numFmtId="0">
      <sharedItems/>
    </cacheField>
    <cacheField name="Product Code" numFmtId="0">
      <sharedItems/>
    </cacheField>
    <cacheField name="Description" numFmtId="0">
      <sharedItems count="109">
        <s v="HT2010 Consumer Broadband Satellite Router, Ka Band only"/>
        <s v="Field Services - Site Corrective Maintenance - Ka Band (1Y)" u="1"/>
        <s v="OW Service Plan 100/20 Best Effort - 1TB" u="1"/>
        <s v="Software Edulink" u="1"/>
        <s v="Storage reports of the monitoring tool for 12 months  - Ka" u="1"/>
        <s v="International Link - Dallas - Lima" u="1"/>
        <s v="Support 2 years" u="1"/>
        <s v="Diferents Penalties on the month" u="1"/>
        <s v="Movings or Relocation 10% (Unistallation &amp; re installation)" u="1"/>
        <s v="Field Services - Site Corrective Maintenance - Ka Band (2Y)" u="1"/>
        <s v="Solar Panel" u="1"/>
        <s v="HUGHES KIT VSAT 1.2m + BUC 5W + HT2524" u="1"/>
        <s v="Installation New Equipment" u="1"/>
        <s v="VNO Managed Capacity 216 Mbps (48 sites Reuso 4:1) CIR 15/3" u="1"/>
        <s v="VNO Managed Capacity 288 Mbps (48 sites Reuso 3:1) CIR 15/3" u="1"/>
        <s v="SES Capacity  " u="1"/>
        <s v="3W Multi-mode radio, Ka-Band, RHCP (Linear)" u="1"/>
        <s v="Customized trouble ticket tool : local code of the school, school name, etc" u="1"/>
        <s v="Network Operation and Management - 24 months" u="1"/>
        <s v="Penalties / Reserve" u="1"/>
        <s v="Differents Penalties on the month" u="1"/>
        <s v="Gabinete" u="1"/>
        <s v="Management and service desk system - Speed Test Reporting (hardware included) - 18 months" u="1"/>
        <s v="Outdoor Dual radio WiFi 6 AP Omni 2x2, GbE. RW" u="1"/>
        <s v="Cambium AP Indoor + AP Outdoor" u="1"/>
        <s v="Movings or Relocation 3% (Unistallation &amp; re installation)" u="1"/>
        <s v="Network Operation and Management - 18 months" u="1"/>
        <s v="Ka Band Management Capacity " u="1"/>
        <s v="Ka managed capacity during the implementation - 6 months" u="1"/>
        <s v="AC line cord, US Type B, 720mm, C5 connector" u="1"/>
        <s v="Failed visits during installation" u="1"/>
        <s v="Server for SpeedTest - HP DL360" u="1"/>
        <s v="Support" u="1"/>
        <s v="Bond of Peru" u="1"/>
        <s v="Web Filtering" u="1"/>
        <s v="Unistallation existing equipment and new Installation" u="1"/>
        <s v="Tranportation Hughes" u="1"/>
        <s v="Edulink Implementation" u="1"/>
        <s v="90cm Ka-Band Saturated Antenna (Single IFL) 1pk" u="1"/>
        <s v="Hughes de Peru Operations " u="1"/>
        <s v="Trimast Mount for 74cm and 90cm antenna" u="1"/>
        <s v="Local Training to 2 people of the EPAD about process to verify the terminal" u="1"/>
        <s v="Monitoring Operation" u="1"/>
        <s v="3W Multi-mode radio, Ka-Band, RHCP" u="1"/>
        <s v="Plan OW 100/20 1TB" u="1"/>
        <s v="OW Service Plan 1TB" u="1"/>
        <s v="5x Gigabit Ethernet, SFP, Dual Core 880MHz CPU, 256MB RAM, USB, microSD, RouterOS L4, IPsec hardware encryption support and The Dude server package" u="1"/>
        <s v="NETFLOW Analyzer " u="1"/>
        <s v="146 Mbps 50/15 OVB 8:1" u="1"/>
        <s v="Laptop" u="1"/>
        <s v="Assy, Trimast, Jonsa, 1-pack, Painted" u="1"/>
        <s v="ESA HL1100W DDP Peru" u="1"/>
        <s v="Security Cams" u="1"/>
        <s v="Cabinet" u="1"/>
        <s v="Network Operations" u="1"/>
        <s v="Edulink Mini Servidor Industrial" u="1"/>
        <s v="HT2524 Cellular Backhaul Satellite Router" u="1"/>
        <s v="Antenna JONSA 90 cm" u="1"/>
        <s v="Router + AP" u="1"/>
        <s v="OW Service Plan " u="1"/>
        <s v="90cm Ka-Band antenna, Single IFL, 4 PK- 4 antennas" u="1"/>
        <s v="5x Gigabit Ethernet, SFP, Dual Core 880MHz CPU, 256MB RAM, USB, microSD, RouterOS L4, IPsec hardware encryption support and The Dude server package (20 kits vandalism and 5% for operations)" u="1"/>
        <s v="Transportation Hughes" u="1"/>
        <s v="HUGHES VSAT 1.2m + BUC 5W + HT2300" u="1"/>
        <s v="Local Training to 2 people of the school about process to verify the terminal" u="1"/>
        <s v="Dedicated FTE from Germantown " u="1"/>
        <s v="Miscellany" u="1"/>
        <s v="Web Filtering Solution" u="1"/>
        <s v="FORTINET ITEM 1" u="1"/>
        <s v="1.2m Ka-Band antenna, Single IFL" u="1"/>
        <s v="EM7 " u="1"/>
        <s v="1.2m Ka antenna tri-mast mount" u="1"/>
        <s v="Spare Cabinets" u="1"/>
        <s v="ONEWEB LEO Terminal HL1120 - 195 Mbps DL / 32 Mbps UL" u="1"/>
        <s v="Enterprise Service Plan 10/3" u="1"/>
        <s v="FORTINET ITEM 2" u="1"/>
        <s v="Ticketing Tool Management" u="1"/>
        <s v="Edulink Mini Servidor Industrial - Spare" u="1"/>
        <s v="Field Services - Site Corrective Maintenance - Ka Band (18m)" u="1"/>
        <s v="Plan OW FV02 F.Static.B 100/20/12000B " u="1"/>
        <s v="Monitoring Platform for Links" u="1"/>
        <s v="Monitoring Plataform" u="1"/>
        <s v="PoE, 60W, 56V, 5GbE DC Injector, Indoor, Energy Level 6 Supply, accepts C5 connector" u="1"/>
        <s v="90cm Ka-Band antenna, Single IFL, 1 PK" u="1"/>
        <s v="XMS-Cloud 3-year subscription for Education: 2 and 3-radio AP with all EasyPass modules and Cambium Care Advanced Support" u="1"/>
        <s v="FORTINET ITEM 3" u="1"/>
        <s v="Development and Implementation of Speed ​​Tests" u="1"/>
        <s v="Network Operations + Monitoring + Reporting" u="1"/>
        <s v="Local training about the monitoring tool and web filtering tool " u="1"/>
        <s v="Smart TV" u="1"/>
        <s v="Logistics (Storage center)" u="1"/>
        <s v="Tablets" u="1"/>
        <s v="FORTINET ITEM 4" u="1"/>
        <s v="Estabilizador" u="1"/>
        <s v="Computadora para Monitoreo" u="1"/>
        <s v="FORTINET ITEM 5" u="1"/>
        <s v="Installation + Site Survey + Materials Sites Ka Band" u="1"/>
        <s v="Plan OW FV02 F.Static.B 100/20/3000B 3000GB" u="1"/>
        <s v="FORTINET ALL ITEMS" u="1"/>
        <s v="Internet Service" u="1"/>
        <s v="Spare Solar Panel" u="1"/>
        <s v="Managed Capacity Ka Band -1204 sitios" u="1"/>
        <s v="Project Manager" u="1"/>
        <s v="Management and service desk system - Speed Test Reporting (hardware included) - 24 months" u="1"/>
        <s v="Hughes Training" u="1"/>
        <s v="Service Manager" u="1"/>
        <s v="Ka managed capacity for 24 Months -  " u="1"/>
        <s v="Trimast with Short Mast Adapter DDP Peru" u="1"/>
        <s v="Hosting for SpeedTest Servers" u="1"/>
      </sharedItems>
    </cacheField>
    <cacheField name="Qty" numFmtId="3">
      <sharedItems containsSemiMixedTypes="0" containsString="0" containsNumber="1" minValue="0" maxValue="7023.3333333333294" count="49">
        <n v="1204"/>
        <n v="0" u="1"/>
        <n v="146.25" u="1"/>
        <n v="356" u="1"/>
        <n v="13" u="1"/>
        <n v="36" u="1"/>
        <n v="288" u="1"/>
        <n v="5" u="1"/>
        <n v="837.375" u="1"/>
        <n v="625" u="1"/>
        <n v="15" u="1"/>
        <n v="7023.3333333333294" u="1"/>
        <n v="423" u="1"/>
        <n v="2" u="1"/>
        <n v="6" u="1"/>
        <n v="48" u="1"/>
        <n v="92.5" u="1"/>
        <n v="540" u="1"/>
        <n v="50" u="1"/>
        <n v="107" u="1"/>
        <n v="300" u="1"/>
        <n v="18" u="1"/>
        <n v="500" u="1"/>
        <n v="90" u="1"/>
        <n v="7" u="1"/>
        <n v="373.8" u="1"/>
        <n v="2107" u="1"/>
        <n v="35" u="1"/>
        <n v="37" u="1"/>
        <n v="1" u="1"/>
        <n v="3" u="1"/>
        <n v="8" u="1"/>
        <n v="525" u="1"/>
        <n v="25" u="1"/>
        <n v="150" u="1"/>
        <n v="712" u="1"/>
        <n v="45" u="1"/>
        <n v="2468" u="1"/>
        <n v="10" u="1"/>
        <n v="216" u="1"/>
        <n v="460" u="1"/>
        <n v="28" u="1"/>
        <n v="80" u="1"/>
        <n v="321" u="1"/>
        <n v="392" u="1"/>
        <n v="30" u="1"/>
        <n v="4" u="1"/>
        <n v="12" u="1"/>
        <n v="55" u="1"/>
      </sharedItems>
    </cacheField>
    <cacheField name="Unit of Measure" numFmtId="3">
      <sharedItems/>
    </cacheField>
    <cacheField name="Discount" numFmtId="9">
      <sharedItems containsSemiMixedTypes="0" containsString="0" containsNumber="1" containsInteger="1" minValue="0" maxValue="0"/>
    </cacheField>
    <cacheField name="Finance?" numFmtId="9">
      <sharedItems count="4">
        <s v="NRC"/>
        <s v="No" u="1"/>
        <s v="Yes" u="1"/>
        <s v="MRC" u="1"/>
      </sharedItems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121.54285714285714" maxValue="121.54285714285714"/>
    </cacheField>
    <cacheField name="Ext. Disc. Price" numFmtId="165">
      <sharedItems containsSemiMixedTypes="0" containsString="0" containsNumber="1" minValue="146337.60000000001" maxValue="146337.60000000001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02436.31999999999" maxValue="102436.31999999999"/>
    </cacheField>
    <cacheField name="Profit Margin" numFmtId="9">
      <sharedItems containsSemiMixedTypes="0" containsString="0" containsNumber="1" minValue="0.30000000000000004" maxValue="0.30000000000000004"/>
    </cacheField>
    <cacheField name="Owner" numFmtId="0">
      <sharedItems/>
    </cacheField>
    <cacheField name="Monthly Price per Site" numFmtId="165">
      <sharedItems containsSemiMixedTypes="0" containsString="0" containsNumber="1" minValue="6.7523809523809524" maxValue="6.7523809523809524"/>
    </cacheField>
    <cacheField name="Monthly Cost per Site" numFmtId="165">
      <sharedItems containsSemiMixedTypes="0" containsString="0" containsNumber="1" minValue="4.7266666666666666" maxValue="4.7266666666666666"/>
    </cacheField>
    <cacheField name="Monthly Price per Mbps" numFmtId="165">
      <sharedItems containsSemiMixedTypes="0" containsString="0" containsNumber="1" minValue="1.1575510204081632" maxValue="1.1575510204081632"/>
    </cacheField>
    <cacheField name="Monthly Cost per Mbps" numFmtId="165">
      <sharedItems containsSemiMixedTypes="0" containsString="0" containsNumber="1" minValue="0.81028571428571416" maxValue="0.81028571428571416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69.555657175923" createdVersion="8" refreshedVersion="7" minRefreshableVersion="3" recordCount="1" xr:uid="{D661CA06-4568-48FA-8A1F-B71C515E3F98}">
  <cacheSource type="worksheet">
    <worksheetSource ref="A24:X25" sheet="QTO DB"/>
  </cacheSource>
  <cacheFields count="30">
    <cacheField name="Type" numFmtId="0">
      <sharedItems count="2">
        <s v="CAPEX"/>
        <s v="OPEX" u="1"/>
      </sharedItems>
    </cacheField>
    <cacheField name="Category" numFmtId="0">
      <sharedItems count="6">
        <s v="Hughes Equipment"/>
        <s v="Hughes Eq." u="1"/>
        <s v="3rd Party Eq." u="1"/>
        <s v="3rd Party Equipment" u="1"/>
        <s v="3rd Party Services" u="1"/>
        <s v="Hughes Services" u="1"/>
      </sharedItems>
    </cacheField>
    <cacheField name="Subcategory" numFmtId="0">
      <sharedItems count="44">
        <s v="VSAT"/>
        <s v="Capacity" u="1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Cabinets" u="1"/>
        <s v="Smart TV" u="1"/>
        <s v="Desktop Pc" u="1"/>
        <s v="Project Manager" u="1"/>
        <s v="Laptop" u="1"/>
        <s v="Penalties" u="1"/>
        <s v="Access Points" u="1"/>
        <s v="Installation &amp; Support" u="1"/>
        <s v="Training" u="1"/>
        <s v="GEO Managed Capacity" u="1"/>
        <s v="International Link" u="1"/>
        <s v="Network O&amp;M" u="1"/>
        <s v="GEO Jupiter VSAT" u="1"/>
        <s v="One Time Services" u="1"/>
        <s v="Baseline Eq." u="1"/>
        <s v="Cabinet" u="1"/>
        <s v="IBOS-Web Filtering" u="1"/>
        <s v="Monitoring and Hosting" u="1"/>
        <s v="Security Cams" u="1"/>
        <s v="Web Filtering" u="1"/>
        <s v="Tables" u="1"/>
        <s v="Digital Repository" u="1"/>
        <s v="Solar Panel" u="1"/>
        <s v="Network Operations" u="1"/>
        <s v="Other" u="1"/>
        <s v="ONE Web Service Plan" u="1"/>
        <s v="Network O6M" u="1"/>
        <s v="Managed Capacity" u="1"/>
        <s v="Miscellany" u="1"/>
        <s v="SPARE" u="1"/>
        <s v="Web Filetring" u="1"/>
        <s v="Routers Microtik" u="1"/>
        <s v="Spare Eq." u="1"/>
        <s v="Installation Services" u="1"/>
        <s v="Solar Panels" u="1"/>
        <s v="Internet Service" u="1"/>
      </sharedItems>
    </cacheField>
    <cacheField name="Manufacturer Part #" numFmtId="0">
      <sharedItems/>
    </cacheField>
    <cacheField name="Product Code" numFmtId="0">
      <sharedItems/>
    </cacheField>
    <cacheField name="Description" numFmtId="0">
      <sharedItems/>
    </cacheField>
    <cacheField name="Qty" numFmtId="3">
      <sharedItems containsSemiMixedTypes="0" containsString="0" containsNumber="1" containsInteger="1" minValue="1204" maxValue="1204"/>
    </cacheField>
    <cacheField name="Unit of Measure" numFmtId="3">
      <sharedItems/>
    </cacheField>
    <cacheField name="Discount" numFmtId="9">
      <sharedItems containsSemiMixedTypes="0" containsString="0" containsNumber="1" containsInteger="1" minValue="0" maxValue="0"/>
    </cacheField>
    <cacheField name="Finance?" numFmtId="9">
      <sharedItems/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121.54285714285714" maxValue="121.54285714285714"/>
    </cacheField>
    <cacheField name="Ext. Disc. Price" numFmtId="165">
      <sharedItems containsSemiMixedTypes="0" containsString="0" containsNumber="1" minValue="146337.60000000001" maxValue="146337.60000000001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02436.31999999999" maxValue="102436.31999999999"/>
    </cacheField>
    <cacheField name="Profit Margin" numFmtId="9">
      <sharedItems containsSemiMixedTypes="0" containsString="0" containsNumber="1" minValue="0.30000000000000004" maxValue="0.30000000000000004"/>
    </cacheField>
    <cacheField name="Owner" numFmtId="0">
      <sharedItems/>
    </cacheField>
    <cacheField name="Monthly Price per Site" numFmtId="165">
      <sharedItems containsSemiMixedTypes="0" containsString="0" containsNumber="1" minValue="6.7523809523809524" maxValue="6.7523809523809524"/>
    </cacheField>
    <cacheField name="Monthly Cost per Site" numFmtId="165">
      <sharedItems containsSemiMixedTypes="0" containsString="0" containsNumber="1" minValue="4.7266666666666666" maxValue="4.7266666666666666"/>
    </cacheField>
    <cacheField name="Monthly Price per Mbps" numFmtId="165">
      <sharedItems containsSemiMixedTypes="0" containsString="0" containsNumber="1" minValue="1.1575510204081632" maxValue="1.1575510204081632"/>
    </cacheField>
    <cacheField name="Monthly Cost per Mbps" numFmtId="165">
      <sharedItems containsSemiMixedTypes="0" containsString="0" containsNumber="1" minValue="0.81028571428571416" maxValue="0.81028571428571416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  <cacheField name="Ext. Price in KUSD" numFmtId="0" formula="#NAME?/1000" databaseField="0"/>
    <cacheField name="Ext. Cost in KUSD" numFmtId="0" formula="'Ext. Cost'/1000" databaseField="0"/>
    <cacheField name="% of Proyect" numFmtId="0" formula="'Ext. Cost in KUSD'" databaseField="0"/>
    <cacheField name="Disc. Ext. Price" numFmtId="0" formula="'Ext. Disc. Price'/1000" databaseField="0"/>
    <cacheField name="Monthly Cost per Mbps2" numFmtId="0" formula="'Unit Cost'" databaseField="0"/>
    <cacheField name="Margin Calc" numFmtId="0" formula="1-('Ext. Cost'/'Ext. Disc. Price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CAPEX"/>
    <s v="Hughes Equipment"/>
    <x v="0"/>
    <s v="1505216-0332"/>
    <s v="HT2010"/>
    <x v="0"/>
    <x v="0"/>
    <s v="Unit"/>
    <n v="0"/>
    <x v="0"/>
    <n v="121.54285714285714"/>
    <n v="121.54285714285714"/>
    <n v="146337.60000000001"/>
    <n v="85.08"/>
    <n v="102436.31999999999"/>
    <n v="0.30000000000000004"/>
    <s v="HNS"/>
    <n v="6.7523809523809524"/>
    <n v="4.7266666666666666"/>
    <n v="1.1575510204081632"/>
    <n v="0.81028571428571416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s v="1505216-0332"/>
    <s v="HT2010"/>
    <s v="HT2010 Consumer Broadband Satellite Router, Ka Band only"/>
    <n v="1204"/>
    <s v="Unit"/>
    <n v="0"/>
    <s v="NRC"/>
    <n v="121.54285714285714"/>
    <n v="121.54285714285714"/>
    <n v="146337.60000000001"/>
    <n v="85.08"/>
    <n v="102436.31999999999"/>
    <n v="0.30000000000000004"/>
    <s v="HNS"/>
    <n v="6.7523809523809524"/>
    <n v="4.7266666666666666"/>
    <n v="1.1575510204081632"/>
    <n v="0.81028571428571416"/>
    <n v="0"/>
    <n v="0"/>
    <m/>
  </r>
</pivotCacheRecords>
</file>

<file path=xl/pivotTables/_rels/pivotTable1.xml.rels><?xml version="1.0" encoding="UTF-8" standalone="yes"?><Relationships xmlns="http://schemas.openxmlformats.org/package/2006/relationships"><Relationship Id="rId1" Target="../pivotCache/pivotCacheDefinition2.xml" Type="http://schemas.openxmlformats.org/officeDocument/2006/relationships/pivotCacheDefinition"/></Relationships>
</file>

<file path=xl/pivotTables/_rels/pivotTable2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3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11D40-89D9-4408-A979-99CBD308B739}" name="PivotTable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showHeaders="0" outline="1" outlineData="1" multipleFieldFilters="0">
  <location ref="B12:J16" firstHeaderRow="0" firstDataRow="1" firstDataCol="1"/>
  <pivotFields count="30">
    <pivotField axis="axisRow" showAll="0">
      <items count="3">
        <item x="0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7">
        <item m="1" x="2"/>
        <item m="1" x="4"/>
        <item h="1" m="1" x="1"/>
        <item m="1" x="5"/>
        <item x="0"/>
        <item m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45">
        <item m="1" x="14"/>
        <item m="1" x="22"/>
        <item m="1" x="8"/>
        <item m="1" x="1"/>
        <item m="1" x="10"/>
        <item m="1" x="29"/>
        <item m="1" x="5"/>
        <item m="1" x="24"/>
        <item m="1" x="25"/>
        <item m="1" x="19"/>
        <item m="1" x="34"/>
        <item m="1" x="21"/>
        <item m="1" x="13"/>
        <item m="1" x="39"/>
        <item m="1" x="42"/>
        <item m="1" x="40"/>
        <item x="0"/>
        <item m="1" x="15"/>
        <item m="1" x="32"/>
        <item m="1" x="38"/>
        <item m="1" x="35"/>
        <item m="1" x="3"/>
        <item m="1" x="41"/>
        <item m="1" x="37"/>
        <item m="1" x="2"/>
        <item m="1" x="33"/>
        <item m="1" x="36"/>
        <item m="1" x="30"/>
        <item m="1" x="27"/>
        <item m="1" x="23"/>
        <item m="1" x="26"/>
        <item m="1" x="12"/>
        <item m="1" x="28"/>
        <item m="1" x="9"/>
        <item m="1" x="16"/>
        <item m="1" x="11"/>
        <item m="1" x="7"/>
        <item m="1" x="4"/>
        <item m="1" x="20"/>
        <item m="1" x="17"/>
        <item m="1" x="6"/>
        <item m="1" x="18"/>
        <item m="1" x="31"/>
        <item m="1" x="4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4">
    <i>
      <x/>
    </i>
    <i r="1">
      <x v="4"/>
    </i>
    <i r="2">
      <x v="1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Disct. Ext. Price" fld="27" baseField="0" baseItem="0" numFmtId="169"/>
    <dataField name="Ext. Cost." fld="25" baseField="0" baseItem="0" numFmtId="169"/>
    <dataField name="% of Project" fld="26" showDataAs="percentOfTotal" baseField="0" baseItem="0" numFmtId="10"/>
    <dataField name="Monthly Price / Site" fld="17" baseField="2" baseItem="16" numFmtId="170"/>
    <dataField name="Monthly Cost / Site" fld="18" baseField="0" baseItem="0" numFmtId="170"/>
    <dataField name="Monthly Price / Mbps" fld="19" baseField="2" baseItem="4" numFmtId="170"/>
    <dataField name="Monthly Cost / Mbps" fld="20" baseField="2" baseItem="4" numFmtId="170"/>
    <dataField name="Margin" fld="29" baseField="1" baseItem="3" numFmtId="167"/>
  </dataFields>
  <formats count="10">
    <format dxfId="325">
      <pivotArea outline="0" collapsedLevelsAreSubtotals="1" fieldPosition="0"/>
    </format>
    <format dxfId="324">
      <pivotArea outline="0" fieldPosition="0">
        <references count="1">
          <reference field="4294967294" count="1">
            <x v="2"/>
          </reference>
        </references>
      </pivotArea>
    </format>
    <format dxfId="323">
      <pivotArea outline="0" fieldPosition="0">
        <references count="1">
          <reference field="4294967294" count="1">
            <x v="0"/>
          </reference>
        </references>
      </pivotArea>
    </format>
    <format dxfId="322">
      <pivotArea outline="0" fieldPosition="0">
        <references count="1">
          <reference field="4294967294" count="1">
            <x v="1"/>
          </reference>
        </references>
      </pivotArea>
    </format>
    <format dxfId="321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320">
      <pivotArea outline="0" fieldPosition="0">
        <references count="1">
          <reference field="4294967294" count="1">
            <x v="6"/>
          </reference>
        </references>
      </pivotArea>
    </format>
    <format dxfId="319">
      <pivotArea outline="0" fieldPosition="0">
        <references count="1">
          <reference field="4294967294" count="1">
            <x v="4"/>
          </reference>
        </references>
      </pivotArea>
    </format>
    <format dxfId="318">
      <pivotArea outline="0" fieldPosition="0">
        <references count="1">
          <reference field="4294967294" count="1">
            <x v="3"/>
          </reference>
        </references>
      </pivotArea>
    </format>
    <format dxfId="317">
      <pivotArea outline="0" fieldPosition="0">
        <references count="1">
          <reference field="4294967294" count="1">
            <x v="5"/>
          </reference>
        </references>
      </pivotArea>
    </format>
    <format dxfId="316">
      <pivotArea outline="0" fieldPosition="0">
        <references count="1">
          <reference field="4294967294" count="1">
            <x v="7"/>
          </reference>
        </references>
      </pivotArea>
    </format>
  </formats>
  <pivotTableStyleInfo name="PivotStyleDark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5BE08-F98D-484F-8493-BACB736BA7BF}" name="PivotTable6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>
  <location ref="C14:C15" firstHeaderRow="1" firstDataRow="1" firstDataCol="0" rowPageCount="1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9" outline="0" showAll="0"/>
    <pivotField axis="axisPage" compact="0" outline="0" showAll="0">
      <items count="5">
        <item m="1" x="3"/>
        <item m="1" x="1"/>
        <item x="0"/>
        <item m="1" x="2"/>
        <item t="default"/>
      </items>
    </pivotField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</pivotFields>
  <rowItems count="1">
    <i/>
  </rowItems>
  <colItems count="1">
    <i/>
  </colItems>
  <pageFields count="1">
    <pageField fld="9" item="2" hier="-1"/>
  </pageFields>
  <dataFields count="1">
    <dataField name="  Monthly Price per Site" fld="22" baseField="0" baseItem="1478900880" numFmtId="170"/>
  </dataFields>
  <formats count="28">
    <format dxfId="202">
      <pivotArea dataOnly="0" labelOnly="1" outline="0" fieldPosition="0">
        <references count="1">
          <reference field="9" count="1">
            <x v="0"/>
          </reference>
        </references>
      </pivotArea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dataOnly="0" labelOnly="1" outline="0" axis="axisValues" fieldPosition="0"/>
    </format>
    <format dxfId="198">
      <pivotArea dataOnly="0" labelOnly="1" outline="0" axis="axisValues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dataOnly="0" labelOnly="1" outline="0" axis="axisValues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dataOnly="0" labelOnly="1" outline="0" axis="axisValues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dataOnly="0" labelOnly="1" outline="0" axis="axisValues" fieldPosition="0"/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dataOnly="0" labelOnly="1" outline="0" axis="axisValues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dataOnly="0" labelOnly="1" outline="0" axis="axisValues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9" type="button" dataOnly="0" labelOnly="1" outline="0" axis="axisPage" fieldPosition="0"/>
    </format>
    <format dxfId="179">
      <pivotArea dataOnly="0" labelOnly="1" outline="0" axis="axisValues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9" type="button" dataOnly="0" labelOnly="1" outline="0" axis="axisPage" fieldPosition="0"/>
    </format>
    <format dxfId="175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325A3-4489-4711-B738-6A80A74E621D}" name="PivotTable2" cacheId="7" applyNumberFormats="0" applyBorderFormats="0" applyFontFormats="0" applyPatternFormats="0" applyAlignmentFormats="0" applyWidthHeightFormats="1" dataCaption="Values" updatedVersion="7" minRefreshableVersion="3" showDrill="0" useAutoFormatting="1" itemPrintTitles="1" mergeItem="1" createdVersion="8" indent="0" compact="0" outline="1" outlineData="1" compactData="0" rowHeaderCaption="Item">
  <location ref="A20:F23" firstHeaderRow="0" firstDataRow="1" firstDataCol="2" rowPageCount="1" colPageCount="1"/>
  <pivotFields count="24">
    <pivotField compact="0" showAll="0"/>
    <pivotField compact="0" showAll="0" defaultSubtotal="0"/>
    <pivotField axis="axisRow" showAll="0" includeNewItemsInFilter="1">
      <items count="43">
        <item m="1" x="13"/>
        <item m="1" x="8"/>
        <item m="1" x="10"/>
        <item m="1" x="26"/>
        <item m="1" x="14"/>
        <item m="1" x="33"/>
        <item m="1" x="19"/>
        <item m="1" x="37"/>
        <item m="1" x="39"/>
        <item x="0"/>
        <item m="1" x="36"/>
        <item m="1" x="2"/>
        <item m="1" x="4"/>
        <item m="1" x="35"/>
        <item m="1" x="1"/>
        <item m="1" x="32"/>
        <item m="1" x="34"/>
        <item m="1" x="28"/>
        <item m="1" x="23"/>
        <item m="1" x="21"/>
        <item m="1" x="22"/>
        <item m="1" x="12"/>
        <item m="1" x="25"/>
        <item m="1" x="9"/>
        <item m="1" x="16"/>
        <item m="1" x="11"/>
        <item m="1" x="6"/>
        <item m="1" x="3"/>
        <item m="1" x="20"/>
        <item m="1" x="17"/>
        <item m="1" x="5"/>
        <item m="1" x="41"/>
        <item m="1" x="7"/>
        <item m="1" x="27"/>
        <item m="1" x="31"/>
        <item m="1" x="24"/>
        <item m="1" x="38"/>
        <item m="1" x="15"/>
        <item m="1" x="18"/>
        <item m="1" x="29"/>
        <item m="1" x="40"/>
        <item m="1" x="30"/>
        <item t="default"/>
      </items>
    </pivotField>
    <pivotField compact="0" showAll="0" defaultSubtotal="0"/>
    <pivotField compact="0" showAll="0" defaultSubtotal="0"/>
    <pivotField axis="axisRow" outline="0" showAll="0" defaultSubtotal="0">
      <items count="109">
        <item m="1" x="71"/>
        <item m="1" x="69"/>
        <item m="1" x="43"/>
        <item m="1" x="46"/>
        <item m="1" x="61"/>
        <item m="1" x="83"/>
        <item m="1" x="60"/>
        <item m="1" x="29"/>
        <item m="1" x="94"/>
        <item m="1" x="65"/>
        <item m="1" x="86"/>
        <item m="1" x="7"/>
        <item m="1" x="37"/>
        <item m="1" x="55"/>
        <item m="1" x="77"/>
        <item m="1" x="30"/>
        <item m="1" x="9"/>
        <item m="1" x="98"/>
        <item m="1" x="68"/>
        <item m="1" x="75"/>
        <item m="1" x="85"/>
        <item m="1" x="92"/>
        <item m="1" x="95"/>
        <item m="1" x="108"/>
        <item x="0"/>
        <item m="1" x="39"/>
        <item m="1" x="96"/>
        <item m="1" x="28"/>
        <item m="1" x="106"/>
        <item m="1" x="88"/>
        <item m="1" x="41"/>
        <item m="1" x="90"/>
        <item m="1" x="103"/>
        <item m="1" x="42"/>
        <item m="1" x="81"/>
        <item m="1" x="80"/>
        <item m="1" x="8"/>
        <item m="1" x="18"/>
        <item m="1" x="23"/>
        <item m="1" x="19"/>
        <item m="1" x="82"/>
        <item m="1" x="31"/>
        <item m="1" x="15"/>
        <item m="1" x="3"/>
        <item m="1" x="10"/>
        <item m="1" x="72"/>
        <item m="1" x="100"/>
        <item m="1" x="6"/>
        <item m="1" x="62"/>
        <item m="1" x="40"/>
        <item m="1" x="84"/>
        <item m="1" x="74"/>
        <item m="1" x="35"/>
        <item m="1" x="1"/>
        <item m="1" x="20"/>
        <item m="1" x="56"/>
        <item m="1" x="14"/>
        <item m="1" x="12"/>
        <item m="1" x="73"/>
        <item m="1" x="59"/>
        <item m="1" x="32"/>
        <item m="1" x="2"/>
        <item m="1" x="66"/>
        <item m="1" x="13"/>
        <item m="1" x="97"/>
        <item m="1" x="79"/>
        <item m="1" x="44"/>
        <item m="1" x="24"/>
        <item m="1" x="34"/>
        <item m="1" x="53"/>
        <item m="1" x="52"/>
        <item m="1" x="49"/>
        <item m="1" x="91"/>
        <item m="1" x="89"/>
        <item m="1" x="104"/>
        <item m="1" x="102"/>
        <item m="1" x="105"/>
        <item m="1" x="87"/>
        <item m="1" x="63"/>
        <item m="1" x="48"/>
        <item m="1" x="11"/>
        <item m="1" x="16"/>
        <item m="1" x="57"/>
        <item m="1" x="50"/>
        <item m="1" x="21"/>
        <item m="1" x="93"/>
        <item m="1" x="58"/>
        <item m="1" x="25"/>
        <item m="1" x="64"/>
        <item m="1" x="36"/>
        <item m="1" x="47"/>
        <item m="1" x="4"/>
        <item m="1" x="17"/>
        <item m="1" x="70"/>
        <item m="1" x="33"/>
        <item m="1" x="26"/>
        <item m="1" x="22"/>
        <item m="1" x="78"/>
        <item m="1" x="76"/>
        <item m="1" x="27"/>
        <item m="1" x="67"/>
        <item m="1" x="38"/>
        <item m="1" x="101"/>
        <item m="1" x="5"/>
        <item m="1" x="54"/>
        <item m="1" x="99"/>
        <item m="1" x="51"/>
        <item m="1" x="107"/>
        <item m="1" x="45"/>
      </items>
    </pivotField>
    <pivotField axis="axisRow" compact="0" numFmtId="3" showAll="0" defaultSubtotal="0">
      <items count="49">
        <item m="1" x="1"/>
        <item m="1" x="29"/>
        <item m="1" x="13"/>
        <item m="1" x="30"/>
        <item m="1" x="46"/>
        <item m="1" x="14"/>
        <item m="1" x="31"/>
        <item m="1" x="10"/>
        <item m="1" x="21"/>
        <item m="1" x="45"/>
        <item m="1" x="27"/>
        <item m="1" x="5"/>
        <item m="1" x="18"/>
        <item m="1" x="42"/>
        <item m="1" x="16"/>
        <item m="1" x="19"/>
        <item m="1" x="43"/>
        <item m="1" x="3"/>
        <item m="1" x="25"/>
        <item m="1" x="44"/>
        <item m="1" x="35"/>
        <item m="1" x="8"/>
        <item m="1" x="20"/>
        <item m="1" x="32"/>
        <item m="1" x="22"/>
        <item m="1" x="34"/>
        <item m="1" x="9"/>
        <item m="1" x="7"/>
        <item m="1" x="41"/>
        <item m="1" x="47"/>
        <item m="1" x="15"/>
        <item m="1" x="6"/>
        <item m="1" x="48"/>
        <item m="1" x="24"/>
        <item m="1" x="39"/>
        <item m="1" x="23"/>
        <item m="1" x="38"/>
        <item m="1" x="17"/>
        <item m="1" x="2"/>
        <item m="1" x="12"/>
        <item m="1" x="4"/>
        <item m="1" x="40"/>
        <item m="1" x="36"/>
        <item m="1" x="37"/>
        <item x="0"/>
        <item m="1" x="28"/>
        <item m="1" x="11"/>
        <item m="1" x="26"/>
        <item m="1" x="33"/>
      </items>
    </pivotField>
    <pivotField compact="0" showAll="0" defaultSubtotal="0"/>
    <pivotField dataField="1" compact="0" numFmtId="9" showAll="0" defaultSubtotal="0"/>
    <pivotField axis="axisPage" compact="0" multipleItemSelectionAllowed="1" showAll="0" defaultSubtotal="0">
      <items count="4">
        <item h="1" m="1" x="1"/>
        <item h="1" m="1" x="2"/>
        <item x="0"/>
        <item h="1" m="1" x="3"/>
      </items>
    </pivotField>
    <pivotField dataField="1" compact="0" numFmtId="165" showAll="0" defaultSubtotal="0"/>
    <pivotField dataField="1" compact="0" numFmtId="165" showAll="0" defaultSubtotal="0"/>
    <pivotField dataField="1" compact="0" numFmtId="165" showAll="0" defaultSubtotal="0"/>
    <pivotField compact="0" numFmtId="165" showAll="0" defaultSubtotal="0"/>
    <pivotField compact="0" numFmtId="165" showAll="0" defaultSubtotal="0"/>
    <pivotField compact="0" showAll="0" defaultSubtotal="0"/>
    <pivotField compact="0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4" showAll="0" defaultSubtotal="0"/>
    <pivotField compact="0" numFmtId="164" showAll="0" defaultSubtotal="0"/>
    <pivotField compact="0" showAll="0" defaultSubtotal="0"/>
  </pivotFields>
  <rowFields count="3">
    <field x="2"/>
    <field x="5"/>
    <field x="6"/>
  </rowFields>
  <rowItems count="3">
    <i>
      <x v="9"/>
    </i>
    <i r="1">
      <x v="24"/>
      <x v="4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hier="-1"/>
  </pageFields>
  <dataFields count="4">
    <dataField name=" Unit Price" fld="10" baseField="6" baseItem="17" numFmtId="170"/>
    <dataField name=" Discount" fld="8" subtotal="average" baseField="2" baseItem="4" numFmtId="9"/>
    <dataField name=" Unit Disc. Price" fld="11" baseField="6" baseItem="1" numFmtId="170"/>
    <dataField name=" Ext. Disc. Price" fld="12" baseField="6" baseItem="1" numFmtId="170"/>
  </dataFields>
  <formats count="113">
    <format dxfId="315">
      <pivotArea outline="0" fieldPosition="0">
        <references count="1">
          <reference field="4294967294" count="1">
            <x v="0"/>
          </reference>
        </references>
      </pivotArea>
    </format>
    <format dxfId="314">
      <pivotArea outline="0" fieldPosition="0">
        <references count="1">
          <reference field="4294967294" count="1">
            <x v="1"/>
          </reference>
        </references>
      </pivotArea>
    </format>
    <format dxfId="313">
      <pivotArea dataOnly="0" labelOnly="1" fieldPosition="0">
        <references count="1">
          <reference field="5" count="0"/>
        </references>
      </pivotArea>
    </format>
    <format dxfId="312">
      <pivotArea dataOnly="0" labelOnly="1" outline="0" fieldPosition="0">
        <references count="2">
          <reference field="2" count="1" selected="0">
            <x v="4"/>
          </reference>
          <reference field="6" count="1">
            <x v="1"/>
          </reference>
        </references>
      </pivotArea>
    </format>
    <format dxfId="311">
      <pivotArea dataOnly="0" labelOnly="1" outline="0" fieldPosition="0">
        <references count="2">
          <reference field="2" count="1" selected="0">
            <x v="4"/>
          </reference>
          <reference field="6" count="1">
            <x v="2"/>
          </reference>
        </references>
      </pivotArea>
    </format>
    <format dxfId="310">
      <pivotArea dataOnly="0" labelOnly="1" outline="0" fieldPosition="0">
        <references count="2">
          <reference field="2" count="1" selected="0">
            <x v="4"/>
          </reference>
          <reference field="6" count="1">
            <x v="8"/>
          </reference>
        </references>
      </pivotArea>
    </format>
    <format dxfId="309">
      <pivotArea dataOnly="0" labelOnly="1" outline="0" fieldPosition="0">
        <references count="2">
          <reference field="2" count="1" selected="0">
            <x v="4"/>
          </reference>
          <reference field="6" count="1">
            <x v="11"/>
          </reference>
        </references>
      </pivotArea>
    </format>
    <format dxfId="308">
      <pivotArea dataOnly="0" labelOnly="1" outline="0" fieldPosition="0">
        <references count="2">
          <reference field="2" count="1" selected="0">
            <x v="4"/>
          </reference>
          <reference field="6" count="1">
            <x v="17"/>
          </reference>
        </references>
      </pivotArea>
    </format>
    <format dxfId="307">
      <pivotArea dataOnly="0" labelOnly="1" outline="0" fieldPosition="0">
        <references count="2">
          <reference field="2" count="1" selected="0">
            <x v="4"/>
          </reference>
          <reference field="6" count="1">
            <x v="19"/>
          </reference>
        </references>
      </pivotArea>
    </format>
    <format dxfId="306">
      <pivotArea dataOnly="0" labelOnly="1" outline="0" fieldPosition="0">
        <references count="2">
          <reference field="2" count="1" selected="0">
            <x v="6"/>
          </reference>
          <reference field="6" count="1">
            <x v="1"/>
          </reference>
        </references>
      </pivotArea>
    </format>
    <format dxfId="305">
      <pivotArea dataOnly="0" labelOnly="1" outline="0" fieldPosition="0">
        <references count="3">
          <reference field="2" count="1" selected="0">
            <x v="4"/>
          </reference>
          <reference field="5" count="2">
            <x v="29"/>
            <x v="48"/>
          </reference>
          <reference field="6" count="1" selected="0">
            <x v="1"/>
          </reference>
        </references>
      </pivotArea>
    </format>
    <format dxfId="304">
      <pivotArea dataOnly="0" labelOnly="1" outline="0" fieldPosition="0">
        <references count="3">
          <reference field="2" count="1" selected="0">
            <x v="4"/>
          </reference>
          <reference field="5" count="1">
            <x v="30"/>
          </reference>
          <reference field="6" count="1" selected="0">
            <x v="2"/>
          </reference>
        </references>
      </pivotArea>
    </format>
    <format dxfId="303">
      <pivotArea dataOnly="0" labelOnly="1" outline="0" fieldPosition="0">
        <references count="3">
          <reference field="2" count="1" selected="0">
            <x v="4"/>
          </reference>
          <reference field="5" count="1">
            <x v="15"/>
          </reference>
          <reference field="6" count="1" selected="0">
            <x v="8"/>
          </reference>
        </references>
      </pivotArea>
    </format>
    <format dxfId="302">
      <pivotArea dataOnly="0" labelOnly="1" outline="0" fieldPosition="0">
        <references count="3">
          <reference field="2" count="1" selected="0">
            <x v="4"/>
          </reference>
          <reference field="5" count="1">
            <x v="36"/>
          </reference>
          <reference field="6" count="1" selected="0">
            <x v="11"/>
          </reference>
        </references>
      </pivotArea>
    </format>
    <format dxfId="301">
      <pivotArea dataOnly="0" labelOnly="1" outline="0" fieldPosition="0">
        <references count="3">
          <reference field="2" count="1" selected="0">
            <x v="4"/>
          </reference>
          <reference field="5" count="1">
            <x v="26"/>
          </reference>
          <reference field="6" count="1" selected="0">
            <x v="17"/>
          </reference>
        </references>
      </pivotArea>
    </format>
    <format dxfId="300">
      <pivotArea dataOnly="0" labelOnly="1" outline="0" fieldPosition="0">
        <references count="3">
          <reference field="2" count="1" selected="0">
            <x v="4"/>
          </reference>
          <reference field="5" count="1">
            <x v="31"/>
          </reference>
          <reference field="6" count="1" selected="0">
            <x v="19"/>
          </reference>
        </references>
      </pivotArea>
    </format>
    <format dxfId="299">
      <pivotArea dataOnly="0" labelOnly="1" outline="0" fieldPosition="0">
        <references count="3">
          <reference field="2" count="1" selected="0">
            <x v="6"/>
          </reference>
          <reference field="5" count="1">
            <x v="39"/>
          </reference>
          <reference field="6" count="1" selected="0">
            <x v="1"/>
          </reference>
        </references>
      </pivotArea>
    </format>
    <format dxfId="298">
      <pivotArea field="5" type="button" dataOnly="0" labelOnly="1" outline="0" axis="axisRow" fieldPosition="1"/>
    </format>
    <format dxfId="297">
      <pivotArea field="6" type="button" dataOnly="0" labelOnly="1" outline="0" axis="axisRow" fieldPosition="2"/>
    </format>
    <format dxfId="296">
      <pivotArea dataOnly="0" labelOnly="1" outline="0" fieldPosition="0">
        <references count="1">
          <reference field="2" count="1">
            <x v="4"/>
          </reference>
        </references>
      </pivotArea>
    </format>
    <format dxfId="295">
      <pivotArea dataOnly="0" labelOnly="1" outline="0" fieldPosition="0">
        <references count="1">
          <reference field="2" count="1">
            <x v="6"/>
          </reference>
        </references>
      </pivotArea>
    </format>
    <format dxfId="294">
      <pivotArea dataOnly="0" labelOnly="1" grandRow="1" outline="0" fieldPosition="0"/>
    </format>
    <format dxfId="29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9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9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9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8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8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8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86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85">
      <pivotArea outline="0" fieldPosition="0">
        <references count="1">
          <reference field="4294967294" count="1" selected="0">
            <x v="1"/>
          </reference>
        </references>
      </pivotArea>
    </format>
    <format dxfId="28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field="2" type="button" dataOnly="0" labelOnly="1" outline="0" axis="axisRow" fieldPosition="0"/>
    </format>
    <format dxfId="280">
      <pivotArea field="5" type="button" dataOnly="0" labelOnly="1" outline="0" axis="axisRow" fieldPosition="1"/>
    </format>
    <format dxfId="279">
      <pivotArea field="6" type="button" dataOnly="0" labelOnly="1" outline="0" axis="axisRow" fieldPosition="2"/>
    </format>
    <format dxfId="278">
      <pivotArea dataOnly="0" labelOnly="1" outline="0" fieldPosition="0">
        <references count="1">
          <reference field="2" count="2">
            <x v="4"/>
            <x v="6"/>
          </reference>
        </references>
      </pivotArea>
    </format>
    <format dxfId="277">
      <pivotArea dataOnly="0" labelOnly="1" grandRow="1" outline="0" fieldPosition="0"/>
    </format>
    <format dxfId="276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75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7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7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7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7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7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6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6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67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5">
      <pivotArea dataOnly="0" labelOnly="1" fieldPosition="0">
        <references count="1">
          <reference field="2" count="1">
            <x v="4"/>
          </reference>
        </references>
      </pivotArea>
    </format>
    <format dxfId="264">
      <pivotArea dataOnly="0" labelOnly="1" fieldPosition="0">
        <references count="1">
          <reference field="2" count="1">
            <x v="6"/>
          </reference>
        </references>
      </pivotArea>
    </format>
    <format dxfId="263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62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61">
      <pivotArea type="all" dataOnly="0" outline="0" fieldPosition="0"/>
    </format>
    <format dxfId="260">
      <pivotArea field="2" type="button" dataOnly="0" labelOnly="1" outline="0" axis="axisRow" fieldPosition="0"/>
    </format>
    <format dxfId="259">
      <pivotArea field="6" type="button" dataOnly="0" labelOnly="1" outline="0" axis="axisRow" fieldPosition="2"/>
    </format>
    <format dxfId="258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57">
      <pivotArea dataOnly="0" labelOnly="1" grandRow="1" outline="0" fieldPosition="0"/>
    </format>
    <format dxfId="256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55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5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5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5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5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5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4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4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47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4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5">
      <pivotArea field="9" type="button" dataOnly="0" labelOnly="1" outline="0" axis="axisPage" fieldPosition="0"/>
    </format>
    <format dxfId="244">
      <pivotArea field="2" type="button" dataOnly="0" labelOnly="1" outline="0" axis="axisRow" fieldPosition="0"/>
    </format>
    <format dxfId="243">
      <pivotArea dataOnly="0" labelOnly="1" fieldPosition="0">
        <references count="1">
          <reference field="2" count="1">
            <x v="4"/>
          </reference>
        </references>
      </pivotArea>
    </format>
    <format dxfId="242">
      <pivotArea dataOnly="0" labelOnly="1" fieldPosition="0">
        <references count="1">
          <reference field="2" count="1">
            <x v="6"/>
          </reference>
        </references>
      </pivotArea>
    </format>
    <format dxfId="241">
      <pivotArea dataOnly="0" labelOnly="1" grandRow="1" outline="0" fieldPosition="0"/>
    </format>
    <format dxfId="240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39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38">
      <pivotArea outline="0" fieldPosition="0">
        <references count="1">
          <reference field="4294967294" count="1" selected="0">
            <x v="0"/>
          </reference>
        </references>
      </pivotArea>
    </format>
    <format dxfId="237">
      <pivotArea field="2" type="button" dataOnly="0" labelOnly="1" outline="0" axis="axisRow" fieldPosition="0"/>
    </format>
    <format dxfId="236">
      <pivotArea field="6" type="button" dataOnly="0" labelOnly="1" outline="0" axis="axisRow" fieldPosition="2"/>
    </format>
    <format dxfId="235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32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3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3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2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2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2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2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2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24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2">
      <pivotArea outline="0" fieldPosition="0">
        <references count="1">
          <reference field="4294967294" count="1" selected="0">
            <x v="0"/>
          </reference>
        </references>
      </pivotArea>
    </format>
    <format dxfId="2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2" type="button" dataOnly="0" labelOnly="1" outline="0" axis="axisRow" fieldPosition="0"/>
    </format>
    <format dxfId="217">
      <pivotArea field="6" type="button" dataOnly="0" labelOnly="1" outline="0" axis="axisRow" fieldPosition="2"/>
    </format>
    <format dxfId="216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15">
      <pivotArea dataOnly="0" labelOnly="1" grandRow="1" outline="0" fieldPosition="0"/>
    </format>
    <format dxfId="214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13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1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1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1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0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0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0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0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05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0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3">
      <pivotArea dataOnly="0" labelOnly="1" outline="0" fieldPosition="0">
        <references count="1">
          <reference field="9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avyrnm</v>
    <v>268435456</v>
    <v>1</v>
    <v>Powered by Refinitiv</v>
    <v>0</v>
    <v>USD/PEN</v>
    <v>2</v>
    <v>3</v>
    <v>Finance</v>
    <v>4</v>
    <v>3.8513000000000002</v>
    <v>3.61</v>
    <v>-1.7000000000000001E-2</v>
    <v>-4.6080000000000001E-3</v>
    <v>PEN</v>
    <v>USD</v>
    <v>3.6890000000000001</v>
    <v>Currency Pair</v>
    <v>45771.755740740744</v>
    <v>3.6720000000000002</v>
    <v>US Dollar/Peruvian Sol FX Spot Rate</v>
    <v>3.6852999999999998</v>
    <v>3.6890000000000001</v>
    <v>3.6720000000000002</v>
    <v>USDPEN</v>
    <v>USD/PEN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d/mm/yyyy\ hh:mm"/>
    </x:dxf>
    <x:dxf>
      <x:numFmt numFmtId="2" formatCode="0.00"/>
    </x:dxf>
  </dxfs>
  <richProperties>
    <rPr n="NumberFormat" t="s"/>
    <rPr n="IsTitleField" t="b"/>
  </richProperties>
  <richStyles>
    <rSty dxfid="0">
      <rpv i="0">_-[$S/-es-PE] * #,##0.00_-;-[$S/-es-PE] * #,##0.00_-;_-[$S/-es-PE] * "-"??_-;_-@_-</rpv>
    </rSty>
    <rSty>
      <rpv i="1">1</rpv>
    </rSty>
    <rSty dxfid="1"/>
    <rSty dxfid="2"/>
    <rSty dxfid="3">
      <rpv i="0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25167-0865-4499-940C-1EE867D43FA6}" name="Table1" displayName="Table1" ref="A24:X30" totalsRowShown="0" headerRowDxfId="327" dataDxfId="326">
  <autoFilter ref="A24:X30" xr:uid="{D9B25167-0865-4499-940C-1EE867D43FA6}"/>
  <tableColumns count="24">
    <tableColumn id="1" xr3:uid="{2705889D-3DA4-4EF4-AB9F-467FA890FC67}" name="Type" dataDxfId="23"/>
    <tableColumn id="2" xr3:uid="{00932E24-F67B-4DD1-9399-836F67A1E73D}" name="Category" dataDxfId="22"/>
    <tableColumn id="3" xr3:uid="{F7171380-87A8-40CC-B230-54FF8BA2BE4F}" name="Subcategory" dataDxfId="21"/>
    <tableColumn id="4" xr3:uid="{C898460D-CAF5-448B-BE85-63E8C69FFD95}" name="Manufacturer Part #" dataDxfId="20"/>
    <tableColumn id="5" xr3:uid="{6AA1ED7A-E035-4821-8ADA-58E9012A0693}" name="Product Code" dataDxfId="19"/>
    <tableColumn id="6" xr3:uid="{91634C05-5A2D-41B9-8CD5-E97640E5B31B}" name="Description" dataDxfId="18"/>
    <tableColumn id="7" xr3:uid="{B7B03007-F4B4-4DAF-8CEE-9B88FA537198}" name="Qty" dataDxfId="17"/>
    <tableColumn id="22" xr3:uid="{51F86B8B-8351-43D4-966D-311CF2E16BBB}" name="Unit of Measure" dataDxfId="16"/>
    <tableColumn id="15" xr3:uid="{E1CA72ED-5BCD-4144-98A2-BC6838ECD1C7}" name="Discount" dataDxfId="15" dataCellStyle="Porcentaje"/>
    <tableColumn id="23" xr3:uid="{AD2B6EF2-B7B1-4460-BE07-AD9904439E9E}" name="Finance?" dataDxfId="14"/>
    <tableColumn id="26" xr3:uid="{3B98063B-191A-4791-8E64-2144DB8F34EA}" name="Unit Price" dataDxfId="13"/>
    <tableColumn id="17" xr3:uid="{27E6A421-6000-4452-AF4D-83F495028D7E}" name="Unit Disc. Price" dataDxfId="12">
      <calculatedColumnFormula>Table1[[#This Row],[Unit Price]]*(1-Table1[[#This Row],[Discount]])</calculatedColumnFormula>
    </tableColumn>
    <tableColumn id="16" xr3:uid="{B7A3CEFA-F34C-4092-8D55-23699B6A9A8E}" name="Ext. Disc. Price" dataDxfId="11">
      <calculatedColumnFormula>IF(Table1[[#This Row],[Type]]="OPEX",$C$19,1)*Table1[[#This Row],[Unit Disc. Price]]*Table1[[#This Row],[Qty]]</calculatedColumnFormula>
    </tableColumn>
    <tableColumn id="10" xr3:uid="{766035EE-1916-4F09-8438-D90E209CEE7E}" name="Unit Cost" dataDxfId="10"/>
    <tableColumn id="11" xr3:uid="{19884C30-8875-49CB-8A2C-EDAF8A2C9194}" name="Ext. Cost" dataDxfId="9">
      <calculatedColumnFormula>IF(Table1[[#This Row],[Type]]="OPEX",$C$19,1)*Table1[[#This Row],[Unit Cost]]*Table1[[#This Row],[Qty]]</calculatedColumnFormula>
    </tableColumn>
    <tableColumn id="12" xr3:uid="{6AA2A8A2-E226-4832-B835-ED90DC56AD6E}" name="Profit Margin" dataDxfId="8">
      <calculatedColumnFormula>1-(Table1[[#This Row],[Ext. Cost]]/Table1[[#This Row],[Ext. Disc. Price]])</calculatedColumnFormula>
    </tableColumn>
    <tableColumn id="13" xr3:uid="{31864868-80A5-4593-A4E9-B9691234E225}" name="Owner" dataDxfId="7"/>
    <tableColumn id="20" xr3:uid="{A0380E78-4D2A-45B7-A283-DF984590C586}" name="Monthly Price per Site" dataDxfId="6">
      <calculatedColumnFormula>Table1[[#This Row],[Ext. Disc. Price]]/$C$7/$C$19</calculatedColumnFormula>
    </tableColumn>
    <tableColumn id="18" xr3:uid="{B043EF5D-2240-45CD-A20F-015B5C358597}" name="Monthly Cost per Site" dataDxfId="5">
      <calculatedColumnFormula>Table1[[#This Row],[Ext. Cost]]/$C$7/$C$19</calculatedColumnFormula>
    </tableColumn>
    <tableColumn id="21" xr3:uid="{D8C5B6B1-FF26-4725-B8A7-2E547E9F502B}" name="Monthly Price per Mbps" dataDxfId="4">
      <calculatedColumnFormula>Table1[[#This Row],[Ext. Disc. Price]]/$C$13/$C$19</calculatedColumnFormula>
    </tableColumn>
    <tableColumn id="19" xr3:uid="{B2D752C1-EB9D-44EA-93B5-CCFE6EE9791B}" name="Monthly Cost per Mbps" dataDxfId="3">
      <calculatedColumnFormula>Table1[[#This Row],[Ext. Cost]]/$C$13/$C$19</calculatedColumnFormula>
    </tableColumn>
    <tableColumn id="24" xr3:uid="{197CE91D-4277-4A6D-A3BC-A3CDA0CD2F17}" name="Financed CAPEX" dataDxfId="2">
      <calculatedColumnFormula>IF(AND(Table1[[#This Row],[Type]]="CAPEX",Table1[[#This Row],[Finance?]]="MRC"),PMT($C$21/12,$C$19,-Table1[[#This Row],[Ext. Disc. Price]]),0)</calculatedColumnFormula>
    </tableColumn>
    <tableColumn id="25" xr3:uid="{C11FB01A-CE3F-4A75-A217-03973DFEF1A0}" name="Financed Monthly Price per Site" dataDxfId="0">
      <calculatedColumnFormula>IF(AND(Table1[[#This Row],[Type]]="CAPEX",Table1[[#This Row],[Finance?]]="MRC"),PMT($C$21/12,$C$19,-Table1[[#This Row],[Ext. Disc. Price]])/$C$7,IF(Table1[[#This Row],[Type]]="OPEX",Table1[[#This Row],[Ext. Disc. Price]]/$C$7/$C$19,0))</calculatedColumnFormula>
    </tableColumn>
    <tableColumn id="14" xr3:uid="{9BB5BBD1-6235-4439-9FB0-77F21C2AE234}" name="Not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ivotTables/pivotTable2.xml" Type="http://schemas.openxmlformats.org/officeDocument/2006/relationships/pivotTable"/><Relationship Id="rId2" Target="../pivotTables/pivotTable3.xml" Type="http://schemas.openxmlformats.org/officeDocument/2006/relationships/pivotTable"/><Relationship Id="rId3" Target="../printerSettings/printerSettings3.bin" Type="http://schemas.openxmlformats.org/officeDocument/2006/relationships/printerSettings"/><Relationship Id="rId4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E313-7910-48B5-A8CD-4C9375A2AF42}">
  <sheetPr>
    <tabColor rgb="FF92D050"/>
  </sheetPr>
  <dimension ref="A1:X35"/>
  <sheetViews>
    <sheetView tabSelected="1" zoomScale="115" zoomScaleNormal="115" workbookViewId="0">
      <pane ySplit="1" topLeftCell="A11" activePane="bottomLeft" state="frozen"/>
      <selection activeCell="I1" sqref="I1"/>
      <selection pane="bottomLeft" activeCell="A25" sqref="A25"/>
    </sheetView>
  </sheetViews>
  <sheetFormatPr baseColWidth="10" defaultColWidth="11.5703125" defaultRowHeight="12" x14ac:dyDescent="0.2"/>
  <cols>
    <col min="1" max="1" bestFit="true" customWidth="true" style="2" width="8.7109375"/>
    <col min="2" max="2" customWidth="true" style="2" width="27.85546875"/>
    <col min="3" max="3" bestFit="true" customWidth="true" style="2" width="15.42578125"/>
    <col min="4" max="4" bestFit="true" customWidth="true" style="2" width="23.28515625"/>
    <col min="5" max="5" bestFit="true" customWidth="true" style="2" width="31.28515625"/>
    <col min="6" max="6" bestFit="true" customWidth="true" style="41" width="45.0"/>
    <col min="7" max="8" bestFit="true" customWidth="true" style="1" width="17.0"/>
    <col min="9" max="10" bestFit="true" customWidth="true" style="1" width="11.7109375"/>
    <col min="11" max="11" bestFit="true" customWidth="true" style="1" width="12.28515625"/>
    <col min="12" max="12" bestFit="true" customWidth="true" style="1" width="16.28515625"/>
    <col min="13" max="13" bestFit="true" customWidth="true" style="1" width="15.85546875"/>
    <col min="14" max="14" bestFit="true" customWidth="true" style="4" width="11.85546875"/>
    <col min="15" max="15" bestFit="true" customWidth="true" style="4" width="14.140625"/>
    <col min="16" max="16" bestFit="true" customWidth="true" style="4" width="14.85546875"/>
    <col min="17" max="17" bestFit="true" customWidth="true" style="4" width="10.140625"/>
    <col min="18" max="18" bestFit="true" customWidth="true" style="4" width="21.7109375"/>
    <col min="19" max="19" bestFit="true" customWidth="true" style="4" width="21.140625"/>
    <col min="20" max="20" bestFit="true" customWidth="true" style="4" width="22.85546875"/>
    <col min="21" max="21" bestFit="true" customWidth="true" style="4" width="22.28515625"/>
    <col min="22" max="22" bestFit="true" customWidth="true" style="4" width="16.42578125"/>
    <col min="23" max="23" bestFit="true" customWidth="true" style="4" width="28.5703125"/>
    <col min="24" max="24" bestFit="true" customWidth="true" style="4" width="9.42578125"/>
    <col min="25" max="25" bestFit="true" customWidth="true" style="2" width="17.85546875"/>
    <col min="26" max="27" bestFit="true" customWidth="true" style="2" width="15.85546875"/>
    <col min="28" max="28" customWidth="true" style="2" width="11.5703125"/>
    <col min="29" max="51" style="2" width="11.5703125"/>
    <col min="52" max="52" bestFit="true" customWidth="true" style="2" width="7.28515625"/>
    <col min="53" max="53" bestFit="true" customWidth="true" style="2" width="11.140625"/>
    <col min="54" max="54" bestFit="true" customWidth="true" style="2" width="4.85546875"/>
    <col min="55" max="55" bestFit="true" customWidth="true" style="2" width="14.28515625"/>
    <col min="56" max="56" bestFit="true" customWidth="true" style="2" width="20.7109375"/>
    <col min="57" max="57" bestFit="true" customWidth="true" style="2" width="24.7109375"/>
    <col min="58" max="16384" style="2" width="11.5703125"/>
  </cols>
  <sheetData>
    <row r="1" spans="1:24" ht="15" x14ac:dyDescent="0.25">
      <c r="A1" s="112" t="s">
        <v>12</v>
      </c>
      <c r="B1" s="112"/>
      <c r="C1" s="21"/>
      <c r="D1" s="1"/>
      <c r="E1" s="19"/>
      <c r="I1" s="97"/>
      <c r="J1" s="4"/>
      <c r="K1" s="4"/>
      <c r="L1" s="4"/>
      <c r="M1" s="20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" x14ac:dyDescent="0.25">
      <c r="A2" s="113" t="s">
        <v>72</v>
      </c>
      <c r="B2" s="113"/>
      <c r="C2" s="6" t="s">
        <v>101</v>
      </c>
      <c r="D2" s="1"/>
      <c r="E2" s="19"/>
      <c r="F2" s="98"/>
      <c r="G2" s="12"/>
      <c r="H2" s="12"/>
      <c r="I2" s="97"/>
      <c r="J2" s="4"/>
      <c r="K2" s="4"/>
      <c r="L2" s="4"/>
      <c r="M2" s="20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" x14ac:dyDescent="0.25">
      <c r="A3" s="36"/>
      <c r="B3" s="37" t="s">
        <v>96</v>
      </c>
      <c r="C3" s="6" t="s">
        <v>94</v>
      </c>
      <c r="D3" s="1"/>
      <c r="E3" s="19"/>
      <c r="F3" s="98"/>
      <c r="G3" s="12"/>
      <c r="H3" s="12"/>
      <c r="I3" s="97"/>
      <c r="J3" s="4"/>
      <c r="K3" s="4"/>
      <c r="L3" s="4"/>
      <c r="M3" s="20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" x14ac:dyDescent="0.25">
      <c r="A4" s="36"/>
      <c r="B4" s="37" t="s">
        <v>74</v>
      </c>
      <c r="C4" s="6" t="s">
        <v>99</v>
      </c>
      <c r="D4" s="1"/>
      <c r="E4" s="19"/>
      <c r="F4" s="38" t="s">
        <v>11</v>
      </c>
      <c r="G4" s="13" t="s">
        <v>10</v>
      </c>
      <c r="H4" s="13" t="s">
        <v>33</v>
      </c>
      <c r="I4" s="97"/>
      <c r="J4" s="4"/>
      <c r="K4" s="4"/>
      <c r="L4" s="4"/>
      <c r="M4" s="20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" x14ac:dyDescent="0.25">
      <c r="A5" s="113" t="s">
        <v>13</v>
      </c>
      <c r="B5" s="114"/>
      <c r="C5" s="6">
        <v>1204</v>
      </c>
      <c r="D5" s="1"/>
      <c r="E5" s="25" t="s">
        <v>0</v>
      </c>
      <c r="F5" s="39">
        <f>SUMIF(A24:A25,"CAPEX",M24:M25)</f>
        <v>146337.60000000001</v>
      </c>
      <c r="G5" s="14">
        <f>SUMIF(A24:A25,"CAPEX",O24:O25)</f>
        <v>102436.31999999999</v>
      </c>
      <c r="H5" s="15">
        <f>1-(G5/F5)</f>
        <v>0.30000000000000004</v>
      </c>
      <c r="I5" s="99"/>
      <c r="J5" s="107"/>
      <c r="K5" s="4"/>
      <c r="L5" s="4"/>
      <c r="M5" s="20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" x14ac:dyDescent="0.25">
      <c r="A6" s="113" t="s">
        <v>14</v>
      </c>
      <c r="B6" s="114"/>
      <c r="C6" s="7">
        <v>0</v>
      </c>
      <c r="D6" s="1"/>
      <c r="E6" s="25" t="s">
        <v>1</v>
      </c>
      <c r="F6" s="39">
        <f>SUMIF(A24:A25,"OPEX",M24:M25)</f>
        <v>0</v>
      </c>
      <c r="G6" s="14">
        <f>SUMIF(A24:A25,"OPEX",O24:O25)</f>
        <v>0</v>
      </c>
      <c r="H6" s="15" t="e">
        <f>1-(G6/F6)</f>
        <v>#DIV/0!</v>
      </c>
      <c r="I6" s="99"/>
      <c r="J6" s="107"/>
      <c r="K6" s="4"/>
      <c r="L6" s="3"/>
      <c r="M6" s="20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" x14ac:dyDescent="0.25">
      <c r="A7" s="113" t="s">
        <v>15</v>
      </c>
      <c r="B7" s="114"/>
      <c r="C7" s="8">
        <f>C5+C6</f>
        <v>1204</v>
      </c>
      <c r="D7" s="1"/>
      <c r="E7" s="19"/>
      <c r="F7" s="40">
        <f>SUM(F5:F6)</f>
        <v>146337.60000000001</v>
      </c>
      <c r="G7" s="16">
        <f>SUM(G5:G6)</f>
        <v>102436.31999999999</v>
      </c>
      <c r="H7" s="17">
        <f>1-(G7/F7)</f>
        <v>0.30000000000000004</v>
      </c>
      <c r="I7" s="100"/>
      <c r="J7" s="4"/>
      <c r="K7" s="4"/>
      <c r="L7" s="4"/>
      <c r="M7" s="20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113" t="s">
        <v>18</v>
      </c>
      <c r="B8" s="114"/>
      <c r="C8" s="10">
        <v>0.03</v>
      </c>
      <c r="D8" s="1"/>
      <c r="E8" s="4"/>
      <c r="F8" s="11"/>
      <c r="G8" s="4"/>
      <c r="H8" s="4"/>
      <c r="I8" s="4"/>
      <c r="J8" s="4"/>
      <c r="K8" s="4"/>
      <c r="L8" s="4"/>
      <c r="M8" s="20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113" t="s">
        <v>19</v>
      </c>
      <c r="B9" s="114"/>
      <c r="C9" s="8">
        <f>ROUNDUP(C7*C8,0)</f>
        <v>37</v>
      </c>
      <c r="D9" s="1"/>
      <c r="E9" s="4"/>
      <c r="F9" s="101"/>
      <c r="G9" s="4"/>
      <c r="H9" s="4"/>
      <c r="I9" s="4"/>
      <c r="J9" s="4"/>
      <c r="K9" s="4"/>
      <c r="L9" s="4"/>
      <c r="M9" s="20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s="113" t="s">
        <v>95</v>
      </c>
      <c r="B10" s="114"/>
      <c r="C10" s="102" t="s">
        <v>100</v>
      </c>
      <c r="D10" s="1"/>
      <c r="E10" s="4"/>
      <c r="F10" s="105"/>
      <c r="G10" s="4"/>
      <c r="H10" s="4"/>
      <c r="I10" s="4"/>
      <c r="J10" s="4"/>
      <c r="K10" s="4"/>
      <c r="L10" s="4"/>
      <c r="M10" s="2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113" t="s">
        <v>20</v>
      </c>
      <c r="B11" s="114"/>
      <c r="C11" s="6">
        <v>0</v>
      </c>
      <c r="D11" s="1"/>
      <c r="E11" s="4"/>
      <c r="F11" s="101"/>
      <c r="G11" s="4"/>
      <c r="H11" s="4"/>
      <c r="I11" s="4"/>
      <c r="J11" s="4"/>
      <c r="K11" s="4"/>
      <c r="L11" s="4"/>
      <c r="M11" s="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s="36"/>
      <c r="B12" s="37" t="s">
        <v>97</v>
      </c>
      <c r="C12" s="104">
        <v>0.16666666666666669</v>
      </c>
      <c r="D12" s="1"/>
      <c r="E12" s="4"/>
      <c r="F12" s="101"/>
      <c r="G12" s="4"/>
      <c r="H12" s="4"/>
      <c r="I12" s="4"/>
      <c r="J12" s="4"/>
      <c r="K12" s="4"/>
      <c r="L12" s="4"/>
      <c r="M12" s="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" x14ac:dyDescent="0.2">
      <c r="A13" s="113" t="s">
        <v>21</v>
      </c>
      <c r="B13" s="114"/>
      <c r="C13" s="6">
        <f>C7*35*C12</f>
        <v>7023.3333333333339</v>
      </c>
      <c r="D13" s="1"/>
      <c r="E13" s="4"/>
      <c r="F13" s="38" t="s">
        <v>34</v>
      </c>
      <c r="G13" s="13" t="s">
        <v>35</v>
      </c>
      <c r="H13" s="13" t="s">
        <v>33</v>
      </c>
      <c r="I13" s="97"/>
      <c r="J13" s="4"/>
      <c r="K13" s="4"/>
      <c r="L13" s="4"/>
      <c r="M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" x14ac:dyDescent="0.2">
      <c r="A14" s="113" t="s">
        <v>16</v>
      </c>
      <c r="B14" s="114"/>
      <c r="C14" s="9">
        <f>C13/C7</f>
        <v>5.8333333333333339</v>
      </c>
      <c r="D14" s="1"/>
      <c r="E14" s="4"/>
      <c r="F14" s="39">
        <f>F7/C7/C19</f>
        <v>6.7523809523809524</v>
      </c>
      <c r="G14" s="14">
        <f>G7/C7/C19</f>
        <v>4.7266666666666666</v>
      </c>
      <c r="H14" s="15">
        <f>1-(G14/F14)</f>
        <v>0.30000000000000004</v>
      </c>
      <c r="I14" s="99"/>
      <c r="J14" s="4"/>
      <c r="K14" s="107"/>
      <c r="L14" s="107"/>
      <c r="M14" s="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36"/>
      <c r="B15" s="36" t="e" vm="1">
        <v>#VALUE!</v>
      </c>
      <c r="C15" s="103">
        <v>3.7</v>
      </c>
      <c r="D15" s="1"/>
      <c r="E15" s="4"/>
      <c r="F15" s="11"/>
      <c r="G15" s="4"/>
      <c r="H15" s="4"/>
      <c r="I15" s="4"/>
      <c r="J15" s="4"/>
      <c r="K15" s="4"/>
      <c r="L15" s="4"/>
      <c r="M15" s="4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s="113" t="s">
        <v>102</v>
      </c>
      <c r="B16" s="114"/>
      <c r="C16" s="9" t="e">
        <f>K25+#REF!+#REF!+#REF!</f>
        <v>#REF!</v>
      </c>
      <c r="D16" s="1"/>
      <c r="E16" s="4"/>
      <c r="F16" s="11"/>
      <c r="G16" s="4"/>
      <c r="H16" s="4"/>
      <c r="I16" s="4"/>
      <c r="J16" s="4"/>
      <c r="K16" s="4"/>
      <c r="L16" s="4"/>
      <c r="M16" s="4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113" t="s">
        <v>22</v>
      </c>
      <c r="B17" s="114"/>
      <c r="C17" s="6">
        <v>125</v>
      </c>
      <c r="D17" s="1"/>
      <c r="E17" s="4"/>
      <c r="F17" s="108"/>
      <c r="G17" s="4"/>
      <c r="H17" s="4"/>
      <c r="I17" s="4"/>
      <c r="J17" s="4"/>
      <c r="K17" s="4"/>
      <c r="L17" s="4"/>
      <c r="M17" s="4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113" t="s">
        <v>17</v>
      </c>
      <c r="B18" s="114"/>
      <c r="C18" s="6">
        <v>40</v>
      </c>
      <c r="D18" s="1"/>
      <c r="E18" s="4"/>
      <c r="F18" s="11"/>
      <c r="G18" s="4"/>
      <c r="H18" s="4"/>
      <c r="I18" s="4"/>
      <c r="J18" s="4"/>
      <c r="K18" s="4"/>
      <c r="L18" s="4"/>
      <c r="M18" s="4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113" t="s">
        <v>23</v>
      </c>
      <c r="B19" s="114"/>
      <c r="C19" s="6">
        <v>18</v>
      </c>
      <c r="D19" s="1"/>
      <c r="E19" s="4"/>
      <c r="F19" s="11"/>
      <c r="G19" s="111"/>
      <c r="H19" s="4"/>
      <c r="I19" s="4"/>
      <c r="J19" s="4"/>
      <c r="K19" s="4"/>
      <c r="L19" s="4"/>
      <c r="M19" s="4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113" t="s">
        <v>7</v>
      </c>
      <c r="B20" s="114"/>
      <c r="C20" s="10">
        <v>0.01</v>
      </c>
      <c r="D20" s="1"/>
      <c r="E20" s="4"/>
      <c r="F20" s="11"/>
      <c r="G20" s="4"/>
      <c r="H20" s="4"/>
      <c r="I20" s="4"/>
      <c r="J20" s="4"/>
      <c r="K20" s="4"/>
      <c r="L20" s="4"/>
      <c r="M20" s="4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113" t="s">
        <v>62</v>
      </c>
      <c r="B21" s="114"/>
      <c r="C21" s="10">
        <v>0.14000000000000001</v>
      </c>
      <c r="D21" s="1"/>
      <c r="E21" s="4"/>
      <c r="F21" s="11"/>
      <c r="G21" s="4"/>
      <c r="H21" s="4"/>
      <c r="I21" s="4"/>
      <c r="J21" s="4"/>
      <c r="K21" s="4"/>
      <c r="L21" s="4"/>
      <c r="M21" s="4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115" t="s">
        <v>6</v>
      </c>
      <c r="B22" s="116"/>
      <c r="C22" s="6">
        <f>4950/C15</f>
        <v>1337.8378378378377</v>
      </c>
      <c r="D22" s="1"/>
      <c r="E22" s="4"/>
      <c r="F22" s="11"/>
      <c r="G22" s="4"/>
      <c r="H22" s="4"/>
      <c r="I22" s="4"/>
      <c r="J22" s="4"/>
      <c r="K22" s="4"/>
      <c r="L22" s="4"/>
      <c r="M22" s="4"/>
      <c r="P22" s="2"/>
      <c r="Q22" s="2"/>
      <c r="R22" s="2"/>
      <c r="S22" s="2"/>
      <c r="T22" s="2"/>
      <c r="U22" s="2"/>
      <c r="V22" s="2"/>
      <c r="W22" s="2"/>
      <c r="X22" s="2"/>
    </row>
    <row r="24" spans="1:24" s="42" customFormat="1" ht="12.75" x14ac:dyDescent="0.25">
      <c r="A24" s="43" t="s">
        <v>4</v>
      </c>
      <c r="B24" s="43" t="s">
        <v>41</v>
      </c>
      <c r="C24" s="43" t="s">
        <v>42</v>
      </c>
      <c r="D24" s="43" t="s">
        <v>24</v>
      </c>
      <c r="E24" s="43" t="s">
        <v>25</v>
      </c>
      <c r="F24" s="43" t="s">
        <v>8</v>
      </c>
      <c r="G24" s="43" t="s">
        <v>9</v>
      </c>
      <c r="H24" s="43" t="s">
        <v>59</v>
      </c>
      <c r="I24" s="43" t="s">
        <v>32</v>
      </c>
      <c r="J24" s="43" t="s">
        <v>61</v>
      </c>
      <c r="K24" s="43" t="s">
        <v>26</v>
      </c>
      <c r="L24" s="45" t="s">
        <v>45</v>
      </c>
      <c r="M24" s="45" t="s">
        <v>46</v>
      </c>
      <c r="N24" s="43" t="s">
        <v>27</v>
      </c>
      <c r="O24" s="45" t="s">
        <v>28</v>
      </c>
      <c r="P24" s="45" t="s">
        <v>5</v>
      </c>
      <c r="Q24" s="43" t="s">
        <v>36</v>
      </c>
      <c r="R24" s="45" t="s">
        <v>55</v>
      </c>
      <c r="S24" s="45" t="s">
        <v>47</v>
      </c>
      <c r="T24" s="45" t="s">
        <v>57</v>
      </c>
      <c r="U24" s="45" t="s">
        <v>53</v>
      </c>
      <c r="V24" s="45" t="s">
        <v>63</v>
      </c>
      <c r="W24" s="45" t="s">
        <v>64</v>
      </c>
      <c r="X24" s="43" t="s">
        <v>40</v>
      </c>
    </row>
    <row r="25" spans="1:24" s="23" customFormat="1" ht="27" customHeight="1" x14ac:dyDescent="0.2">
      <c r="A25" s="118" t="s">
        <v>0</v>
      </c>
      <c r="B25" s="118" t="s">
        <v>39</v>
      </c>
      <c r="C25" s="118" t="s">
        <v>38</v>
      </c>
      <c r="D25" s="118" t="s">
        <v>29</v>
      </c>
      <c r="E25" s="118" t="s">
        <v>30</v>
      </c>
      <c r="F25" s="109" t="s">
        <v>31</v>
      </c>
      <c r="G25" s="119">
        <f>$C$5</f>
        <v>1204</v>
      </c>
      <c r="H25" s="119" t="s">
        <v>60</v>
      </c>
      <c r="I25" s="120">
        <v>0</v>
      </c>
      <c r="J25" s="120" t="s">
        <v>65</v>
      </c>
      <c r="K25" s="121">
        <f>Table1[[#This Row],[Unit Cost]]/0.7</f>
        <v>121.54285714285714</v>
      </c>
      <c r="L25" s="122">
        <f>Table1[[#This Row],[Unit Price]]*(1-Table1[[#This Row],[Discount]])</f>
        <v>121.54285714285714</v>
      </c>
      <c r="M25" s="122">
        <f>IF(Table1[[#This Row],[Type]]="OPEX",$C$19,1)*Table1[[#This Row],[Unit Disc. Price]]*Table1[[#This Row],[Qty]]</f>
        <v>146337.60000000001</v>
      </c>
      <c r="N25" s="121">
        <v>85.08</v>
      </c>
      <c r="O25" s="122">
        <f>IF(Table1[[#This Row],[Type]]="OPEX",$C$19,1)*Table1[[#This Row],[Unit Cost]]*Table1[[#This Row],[Qty]]</f>
        <v>102436.31999999999</v>
      </c>
      <c r="P25" s="123">
        <f>1-(Table1[[#This Row],[Ext. Cost]]/Table1[[#This Row],[Ext. Disc. Price]])</f>
        <v>0.30000000000000004</v>
      </c>
      <c r="Q25" s="118" t="s">
        <v>37</v>
      </c>
      <c r="R25" s="124">
        <f>Table1[[#This Row],[Ext. Disc. Price]]/$C$7/$C$19</f>
        <v>6.7523809523809524</v>
      </c>
      <c r="S25" s="124">
        <f>Table1[[#This Row],[Ext. Cost]]/$C$7/$C$19</f>
        <v>4.7266666666666666</v>
      </c>
      <c r="T25" s="124">
        <f>Table1[[#This Row],[Ext. Disc. Price]]/$C$13/$C$19</f>
        <v>1.1575510204081632</v>
      </c>
      <c r="U25" s="124">
        <f>Table1[[#This Row],[Ext. Cost]]/$C$13/$C$19</f>
        <v>0.81028571428571416</v>
      </c>
      <c r="V25" s="125">
        <f>IF(AND(Table1[[#This Row],[Type]]="CAPEX",Table1[[#This Row],[Finance?]]="MRC"),PMT($C$21/12,$C$19,-Table1[[#This Row],[Ext. Disc. Price]]),0)</f>
        <v>0</v>
      </c>
      <c r="W25" s="125">
        <f>IF(AND(Table1[[#This Row],[Type]]="CAPEX",Table1[[#This Row],[Finance?]]="MRC"),PMT($C$21/12,$C$19,-Table1[[#This Row],[Ext. Disc. Price]])/$C$7,IF(Table1[[#This Row],[Type]]="OPEX",Table1[[#This Row],[Ext. Disc. Price]]/$C$7/$C$19,0))</f>
        <v>0</v>
      </c>
      <c r="X25" s="44"/>
    </row>
    <row r="26" spans="1:24" s="23" customFormat="1" ht="12.75" x14ac:dyDescent="0.2">
      <c r="A26" s="118" t="s">
        <v>0</v>
      </c>
      <c r="B26" s="118" t="s">
        <v>39</v>
      </c>
      <c r="C26" s="118" t="s">
        <v>38</v>
      </c>
      <c r="D26" s="118" t="s">
        <v>103</v>
      </c>
      <c r="E26" s="118" t="s">
        <v>104</v>
      </c>
      <c r="F26" s="109" t="s">
        <v>105</v>
      </c>
      <c r="G26" s="119" t="s">
        <v>60</v>
      </c>
      <c r="H26" s="119" t="s">
        <v>65</v>
      </c>
      <c r="I26" s="120"/>
      <c r="J26" s="120"/>
      <c r="K26" s="121"/>
      <c r="L26" s="122">
        <f>Table1[[#This Row],[Unit Price]]*(1-Table1[[#This Row],[Discount]])</f>
      </c>
      <c r="M26" s="122">
        <f>IF(Table1[[#This Row],[Type]]="OPEX",$C$19,1)*Table1[[#This Row],[Unit Disc. Price]]*Table1[[#This Row],[Qty]]</f>
      </c>
      <c r="N26" s="121"/>
      <c r="O26" s="122">
        <f>IF(Table1[[#This Row],[Type]]="OPEX",$C$19,1)*Table1[[#This Row],[Unit Cost]]*Table1[[#This Row],[Qty]]</f>
      </c>
      <c r="P26" s="123">
        <f>1-(Table1[[#This Row],[Ext. Cost]]/Table1[[#This Row],[Ext. Disc. Price]])</f>
      </c>
      <c r="Q26" s="118"/>
      <c r="R26" s="124">
        <f>Table1[[#This Row],[Ext. Disc. Price]]/$C$7/$C$19</f>
      </c>
      <c r="S26" s="124">
        <f>Table1[[#This Row],[Ext. Cost]]/$C$7/$C$19</f>
      </c>
      <c r="T26" s="124">
        <f>Table1[[#This Row],[Ext. Disc. Price]]/$C$13/$C$19</f>
      </c>
      <c r="U26" s="124">
        <f>Table1[[#This Row],[Ext. Cost]]/$C$13/$C$19</f>
      </c>
      <c r="V26" s="125">
        <f>IF(AND(Table1[[#This Row],[Type]]="CAPEX",Table1[[#This Row],[Finance?]]="MRC"),PMT($C$21/12,$C$19,-Table1[[#This Row],[Ext. Disc. Price]]),0)</f>
      </c>
      <c r="W26" s="125">
        <f>IF(AND(Table1[[#This Row],[Type]]="CAPEX",Table1[[#This Row],[Finance?]]="MRC"),PMT($C$21/12,$C$19,-Table1[[#This Row],[Ext. Disc. Price]])/$C$7,IF(Table1[[#This Row],[Type]]="OPEX",Table1[[#This Row],[Ext. Disc. Price]]/$C$7/$C$19,0))</f>
      </c>
      <c r="X26" s="44"/>
    </row>
    <row r="27" spans="1:24" s="23" customFormat="1" ht="12.75" x14ac:dyDescent="0.2">
      <c r="A27" s="118" t="s">
        <v>0</v>
      </c>
      <c r="B27" s="118" t="s">
        <v>39</v>
      </c>
      <c r="C27" s="118" t="s">
        <v>38</v>
      </c>
      <c r="D27" s="118" t="s">
        <v>103</v>
      </c>
      <c r="E27" s="118" t="s">
        <v>104</v>
      </c>
      <c r="F27" s="109" t="s">
        <v>105</v>
      </c>
      <c r="G27" s="119" t="s">
        <v>60</v>
      </c>
      <c r="H27" s="119" t="s">
        <v>65</v>
      </c>
      <c r="I27" s="120"/>
      <c r="J27" s="120"/>
      <c r="K27" s="121"/>
      <c r="L27" s="122">
        <f>Table1[[#This Row],[Unit Price]]*(1-Table1[[#This Row],[Discount]])</f>
      </c>
      <c r="M27" s="122">
        <f>IF(Table1[[#This Row],[Type]]="OPEX",$C$19,1)*Table1[[#This Row],[Unit Disc. Price]]*Table1[[#This Row],[Qty]]</f>
      </c>
      <c r="N27" s="121"/>
      <c r="O27" s="122">
        <f>IF(Table1[[#This Row],[Type]]="OPEX",$C$19,1)*Table1[[#This Row],[Unit Cost]]*Table1[[#This Row],[Qty]]</f>
      </c>
      <c r="P27" s="123">
        <f>1-(Table1[[#This Row],[Ext. Cost]]/Table1[[#This Row],[Ext. Disc. Price]])</f>
      </c>
      <c r="Q27" s="118"/>
      <c r="R27" s="124">
        <f>Table1[[#This Row],[Ext. Disc. Price]]/$C$7/$C$19</f>
      </c>
      <c r="S27" s="124">
        <f>Table1[[#This Row],[Ext. Cost]]/$C$7/$C$19</f>
      </c>
      <c r="T27" s="124">
        <f>Table1[[#This Row],[Ext. Disc. Price]]/$C$13/$C$19</f>
      </c>
      <c r="U27" s="124">
        <f>Table1[[#This Row],[Ext. Cost]]/$C$13/$C$19</f>
      </c>
      <c r="V27" s="125">
        <f>IF(AND(Table1[[#This Row],[Type]]="CAPEX",Table1[[#This Row],[Finance?]]="MRC"),PMT($C$21/12,$C$19,-Table1[[#This Row],[Ext. Disc. Price]]),0)</f>
      </c>
      <c r="W27" s="125">
        <f>IF(AND(Table1[[#This Row],[Type]]="CAPEX",Table1[[#This Row],[Finance?]]="MRC"),PMT($C$21/12,$C$19,-Table1[[#This Row],[Ext. Disc. Price]])/$C$7,IF(Table1[[#This Row],[Type]]="OPEX",Table1[[#This Row],[Ext. Disc. Price]]/$C$7/$C$19,0))</f>
      </c>
      <c r="X27" s="44"/>
    </row>
    <row r="28" spans="1:24" s="24" customFormat="1" x14ac:dyDescent="0.2">
      <c r="A28" s="118"/>
      <c r="B28" s="118"/>
      <c r="C28" s="118"/>
      <c r="D28" s="118"/>
      <c r="E28" s="118"/>
      <c r="F28" s="109"/>
      <c r="G28" s="119"/>
      <c r="H28" s="119"/>
      <c r="I28" s="120"/>
      <c r="J28" s="120"/>
      <c r="K28" s="121"/>
      <c r="L28" s="122">
        <f>Table1[[#This Row],[Unit Price]]*(1-Table1[[#This Row],[Discount]])</f>
      </c>
      <c r="M28" s="122">
        <f>IF(Table1[[#This Row],[Type]]="OPEX",$C$19,1)*Table1[[#This Row],[Unit Disc. Price]]*Table1[[#This Row],[Qty]]</f>
      </c>
      <c r="N28" s="121"/>
      <c r="O28" s="122">
        <f>IF(Table1[[#This Row],[Type]]="OPEX",$C$19,1)*Table1[[#This Row],[Unit Cost]]*Table1[[#This Row],[Qty]]</f>
      </c>
      <c r="P28" s="123">
        <f>1-(Table1[[#This Row],[Ext. Cost]]/Table1[[#This Row],[Ext. Disc. Price]])</f>
      </c>
      <c r="Q28" s="118"/>
      <c r="R28" s="124">
        <f>Table1[[#This Row],[Ext. Disc. Price]]/$C$7/$C$19</f>
      </c>
      <c r="S28" s="124">
        <f>Table1[[#This Row],[Ext. Cost]]/$C$7/$C$19</f>
      </c>
      <c r="T28" s="124">
        <f>Table1[[#This Row],[Ext. Disc. Price]]/$C$13/$C$19</f>
      </c>
      <c r="U28" s="124">
        <f>Table1[[#This Row],[Ext. Cost]]/$C$13/$C$19</f>
      </c>
      <c r="V28" s="125">
        <f>IF(AND(Table1[[#This Row],[Type]]="CAPEX",Table1[[#This Row],[Finance?]]="MRC"),PMT($C$21/12,$C$19,-Table1[[#This Row],[Ext. Disc. Price]]),0)</f>
      </c>
      <c r="W28" s="125">
        <f>IF(AND(Table1[[#This Row],[Type]]="CAPEX",Table1[[#This Row],[Finance?]]="MRC"),PMT($C$21/12,$C$19,-Table1[[#This Row],[Ext. Disc. Price]])/$C$7,IF(Table1[[#This Row],[Type]]="OPEX",Table1[[#This Row],[Ext. Disc. Price]]/$C$7/$C$19,0))</f>
      </c>
      <c r="X28" s="44"/>
    </row>
    <row r="29" spans="1:24" s="24" customFormat="1" x14ac:dyDescent="0.2">
      <c r="A29" s="118"/>
      <c r="B29" s="118"/>
      <c r="C29" s="118"/>
      <c r="D29" s="118"/>
      <c r="E29" s="118"/>
      <c r="F29" s="109"/>
      <c r="G29" s="119"/>
      <c r="H29" s="119"/>
      <c r="I29" s="120"/>
      <c r="J29" s="120"/>
      <c r="K29" s="121"/>
      <c r="L29" s="122">
        <f>Table1[[#This Row],[Unit Price]]*(1-Table1[[#This Row],[Discount]])</f>
      </c>
      <c r="M29" s="122">
        <f>IF(Table1[[#This Row],[Type]]="OPEX",$C$19,1)*Table1[[#This Row],[Unit Disc. Price]]*Table1[[#This Row],[Qty]]</f>
      </c>
      <c r="N29" s="121"/>
      <c r="O29" s="122">
        <f>IF(Table1[[#This Row],[Type]]="OPEX",$C$19,1)*Table1[[#This Row],[Unit Cost]]*Table1[[#This Row],[Qty]]</f>
      </c>
      <c r="P29" s="123">
        <f>1-(Table1[[#This Row],[Ext. Cost]]/Table1[[#This Row],[Ext. Disc. Price]])</f>
      </c>
      <c r="Q29" s="118"/>
      <c r="R29" s="124">
        <f>Table1[[#This Row],[Ext. Disc. Price]]/$C$7/$C$19</f>
      </c>
      <c r="S29" s="124">
        <f>Table1[[#This Row],[Ext. Cost]]/$C$7/$C$19</f>
      </c>
      <c r="T29" s="124">
        <f>Table1[[#This Row],[Ext. Disc. Price]]/$C$13/$C$19</f>
      </c>
      <c r="U29" s="124">
        <f>Table1[[#This Row],[Ext. Cost]]/$C$13/$C$19</f>
      </c>
      <c r="V29" s="125">
        <f>IF(AND(Table1[[#This Row],[Type]]="CAPEX",Table1[[#This Row],[Finance?]]="MRC"),PMT($C$21/12,$C$19,-Table1[[#This Row],[Ext. Disc. Price]]),0)</f>
      </c>
      <c r="W29" s="125">
        <f>IF(AND(Table1[[#This Row],[Type]]="CAPEX",Table1[[#This Row],[Finance?]]="MRC"),PMT($C$21/12,$C$19,-Table1[[#This Row],[Ext. Disc. Price]])/$C$7,IF(Table1[[#This Row],[Type]]="OPEX",Table1[[#This Row],[Ext. Disc. Price]]/$C$7/$C$19,0))</f>
      </c>
      <c r="X29" s="44"/>
    </row>
    <row r="30">
      <c r="A30" s="118"/>
      <c r="B30" s="118"/>
      <c r="C30" s="118"/>
      <c r="D30" s="118"/>
      <c r="E30" s="118"/>
      <c r="F30" s="109"/>
      <c r="G30" s="119"/>
      <c r="H30" s="119"/>
      <c r="I30" s="120"/>
      <c r="J30" s="120"/>
      <c r="K30" s="121"/>
      <c r="L30" s="122">
        <f>Table1[[#This Row],[Unit Price]]*(1-Table1[[#This Row],[Discount]])</f>
      </c>
      <c r="M30" s="122">
        <f>IF(Table1[[#This Row],[Type]]="OPEX",$C$19,1)*Table1[[#This Row],[Unit Disc. Price]]*Table1[[#This Row],[Qty]]</f>
      </c>
      <c r="N30" s="121"/>
      <c r="O30" s="122">
        <f>IF(Table1[[#This Row],[Type]]="OPEX",$C$19,1)*Table1[[#This Row],[Unit Cost]]*Table1[[#This Row],[Qty]]</f>
      </c>
      <c r="P30" s="123">
        <f>1-(Table1[[#This Row],[Ext. Cost]]/Table1[[#This Row],[Ext. Disc. Price]])</f>
      </c>
      <c r="Q30" s="118"/>
      <c r="R30" s="124">
        <f>Table1[[#This Row],[Ext. Disc. Price]]/$C$7/$C$19</f>
      </c>
      <c r="S30" s="124">
        <f>Table1[[#This Row],[Ext. Cost]]/$C$7/$C$19</f>
      </c>
      <c r="T30" s="124">
        <f>Table1[[#This Row],[Ext. Disc. Price]]/$C$13/$C$19</f>
      </c>
      <c r="U30" s="124">
        <f>Table1[[#This Row],[Ext. Cost]]/$C$13/$C$19</f>
      </c>
      <c r="V30" s="125">
        <f>IF(AND(Table1[[#This Row],[Type]]="CAPEX",Table1[[#This Row],[Finance?]]="MRC"),PMT($C$21/12,$C$19,-Table1[[#This Row],[Ext. Disc. Price]]),0)</f>
      </c>
      <c r="W30" s="125">
        <f>IF(AND(Table1[[#This Row],[Type]]="CAPEX",Table1[[#This Row],[Finance?]]="MRC"),PMT($C$21/12,$C$19,-Table1[[#This Row],[Ext. Disc. Price]])/$C$7,IF(Table1[[#This Row],[Type]]="OPEX",Table1[[#This Row],[Ext. Disc. Price]]/$C$7/$C$19,0))</f>
      </c>
      <c r="X30" s="44"/>
    </row>
    <row r="31" spans="1:24" s="24" customFormat="1" x14ac:dyDescent="0.2">
      <c r="A31" s="2"/>
      <c r="B31" s="2"/>
      <c r="C31" s="2"/>
      <c r="D31" s="4"/>
      <c r="E31" s="4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D32" s="4"/>
      <c r="E32" s="4"/>
      <c r="F32" s="11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4:24" x14ac:dyDescent="0.2">
      <c r="D33" s="4"/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4:24" x14ac:dyDescent="0.2">
      <c r="D34" s="4"/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4:24" x14ac:dyDescent="0.2">
      <c r="D35" s="4"/>
      <c r="E35" s="4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</sheetData>
  <dataConsolidate/>
  <mergeCells count="18">
    <mergeCell ref="A11:B11"/>
    <mergeCell ref="A8:B8"/>
    <mergeCell ref="A9:B9"/>
    <mergeCell ref="A10:B10"/>
    <mergeCell ref="A22:B22"/>
    <mergeCell ref="A20:B20"/>
    <mergeCell ref="A21:B21"/>
    <mergeCell ref="A13:B13"/>
    <mergeCell ref="A14:B14"/>
    <mergeCell ref="A16:B16"/>
    <mergeCell ref="A18:B18"/>
    <mergeCell ref="A19:B19"/>
    <mergeCell ref="A17:B17"/>
    <mergeCell ref="A1:B1"/>
    <mergeCell ref="A5:B5"/>
    <mergeCell ref="A2:B2"/>
    <mergeCell ref="A6:B6"/>
    <mergeCell ref="A7:B7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E563-576D-41EB-87DF-A39FE4918784}">
  <sheetPr>
    <tabColor rgb="FF92D050"/>
  </sheetPr>
  <dimension ref="B1:J94"/>
  <sheetViews>
    <sheetView workbookViewId="0">
      <selection activeCell="C2" sqref="C2"/>
    </sheetView>
  </sheetViews>
  <sheetFormatPr baseColWidth="10" defaultColWidth="8.85546875" defaultRowHeight="15" x14ac:dyDescent="0.25"/>
  <cols>
    <col min="2" max="2" bestFit="true" customWidth="true" width="21.5703125"/>
    <col min="3" max="3" bestFit="true" customWidth="true" style="19" width="14.42578125"/>
    <col min="4" max="4" bestFit="true" customWidth="true" style="19" width="13.28515625"/>
    <col min="5" max="5" bestFit="true" customWidth="true" style="19" width="11.5703125"/>
    <col min="6" max="6" bestFit="true" customWidth="true" width="18.7109375"/>
    <col min="7" max="7" bestFit="true" customWidth="true" width="18.140625"/>
    <col min="8" max="8" bestFit="true" customWidth="true" width="20.28515625"/>
    <col min="9" max="9" bestFit="true" customWidth="true" width="19.7109375"/>
    <col min="10" max="10" bestFit="true" customWidth="true" width="7.28515625"/>
    <col min="11" max="11" bestFit="true" customWidth="true" width="12.0"/>
    <col min="12" max="12" bestFit="true" customWidth="true" width="15.28515625"/>
    <col min="13" max="13" bestFit="true" customWidth="true" width="11.5703125"/>
    <col min="14" max="14" bestFit="true" customWidth="true" width="10.0"/>
    <col min="15" max="15" bestFit="true" customWidth="true" width="9.0"/>
    <col min="16" max="18" bestFit="true" customWidth="true" width="10.0"/>
    <col min="19" max="19" bestFit="true" customWidth="true" width="12.0"/>
    <col min="20" max="20" bestFit="true" customWidth="true" width="10.0"/>
    <col min="21" max="21" bestFit="true" customWidth="true" width="20.85546875"/>
    <col min="22" max="22" bestFit="true" customWidth="true" width="20.28515625"/>
  </cols>
  <sheetData>
    <row r="1" spans="2:10" x14ac:dyDescent="0.25">
      <c r="C1" s="19"/>
    </row>
    <row r="2" spans="2:10" x14ac:dyDescent="0.25">
      <c r="B2" s="32" t="s">
        <v>15</v>
      </c>
      <c r="C2" s="33">
        <f>'QTO DB'!C7</f>
        <v>1204</v>
      </c>
      <c r="D2" s="19"/>
      <c r="E2" s="19"/>
    </row>
    <row r="3" spans="2:10" x14ac:dyDescent="0.25">
      <c r="B3" s="34" t="s">
        <v>43</v>
      </c>
      <c r="C3" s="35">
        <f>'QTO DB'!C13</f>
        <v>7023.3333333333339</v>
      </c>
      <c r="D3" s="19"/>
      <c r="E3" s="19"/>
    </row>
    <row r="4" spans="2:10" x14ac:dyDescent="0.25">
      <c r="B4" s="32" t="s">
        <v>44</v>
      </c>
      <c r="C4" s="33">
        <f>'QTO DB'!C19</f>
        <v>18</v>
      </c>
      <c r="D4" s="19"/>
      <c r="E4" s="19"/>
    </row>
    <row r="5" spans="2:10" x14ac:dyDescent="0.25">
      <c r="C5" s="19"/>
      <c r="D5" s="19"/>
      <c r="E5" s="19"/>
    </row>
    <row r="6" spans="2:10" x14ac:dyDescent="0.25">
      <c r="C6" s="19"/>
      <c r="D6" s="19"/>
      <c r="E6" s="19"/>
    </row>
    <row r="7" spans="2:10" x14ac:dyDescent="0.25">
      <c r="B7" s="117" t="s">
        <v>52</v>
      </c>
      <c r="C7" s="117"/>
      <c r="D7" s="117"/>
      <c r="E7" s="117"/>
      <c r="F7" s="117"/>
      <c r="G7" s="117"/>
      <c r="H7" s="117"/>
      <c r="I7" s="117"/>
      <c r="J7" s="117"/>
    </row>
    <row r="8" spans="2:10" ht="9.75" customHeight="1" x14ac:dyDescent="0.25">
      <c r="C8" s="19"/>
      <c r="D8" s="19"/>
      <c r="E8" s="19"/>
    </row>
    <row r="9" spans="2:10" ht="9.75" customHeight="1" x14ac:dyDescent="0.25">
      <c r="C9" s="19"/>
      <c r="D9" s="19"/>
      <c r="E9" s="19"/>
    </row>
    <row r="10" spans="2:10" ht="9.75" customHeight="1" x14ac:dyDescent="0.25">
      <c r="C10" s="19"/>
      <c r="D10" s="19"/>
      <c r="E10" s="19"/>
    </row>
    <row r="11" spans="2:10" ht="9.75" customHeight="1" x14ac:dyDescent="0.25">
      <c r="C11" s="19"/>
      <c r="D11" s="19"/>
      <c r="E11" s="19"/>
    </row>
    <row r="12" spans="2:10" x14ac:dyDescent="0.25">
      <c r="C12" s="19" t="s">
        <v>48</v>
      </c>
      <c r="D12" s="19" t="s">
        <v>49</v>
      </c>
      <c r="E12" s="19" t="s">
        <v>50</v>
      </c>
      <c r="F12" t="s" s="0">
        <v>56</v>
      </c>
      <c r="G12" s="19" t="s">
        <v>51</v>
      </c>
      <c r="H12" t="s" s="0">
        <v>58</v>
      </c>
      <c r="I12" t="s" s="0">
        <v>54</v>
      </c>
      <c r="J12" t="s" s="0">
        <v>3</v>
      </c>
    </row>
    <row r="13" spans="2:10" x14ac:dyDescent="0.25">
      <c r="B13" s="18" t="s">
        <v>0</v>
      </c>
      <c r="C13" s="30">
        <v>146.33760000000001</v>
      </c>
      <c r="D13" s="30">
        <v>102.43631999999999</v>
      </c>
      <c r="E13" s="26">
        <v>1</v>
      </c>
      <c r="F13" s="31">
        <v>6.7523809523809524</v>
      </c>
      <c r="G13" s="31">
        <v>4.7266666666666666</v>
      </c>
      <c r="H13" s="31">
        <v>1.1575510204081632</v>
      </c>
      <c r="I13" s="31">
        <v>0.81028571428571416</v>
      </c>
      <c r="J13" s="106">
        <v>0.30000000000000004</v>
      </c>
    </row>
    <row r="14" spans="2:10" x14ac:dyDescent="0.25">
      <c r="B14" s="27" t="s">
        <v>39</v>
      </c>
      <c r="C14" s="30">
        <v>146.33760000000001</v>
      </c>
      <c r="D14" s="30">
        <v>102.43631999999999</v>
      </c>
      <c r="E14" s="26">
        <v>1</v>
      </c>
      <c r="F14" s="31">
        <v>6.7523809523809524</v>
      </c>
      <c r="G14" s="31">
        <v>4.7266666666666666</v>
      </c>
      <c r="H14" s="31">
        <v>1.1575510204081632</v>
      </c>
      <c r="I14" s="31">
        <v>0.81028571428571416</v>
      </c>
      <c r="J14" s="106">
        <v>0.30000000000000004</v>
      </c>
    </row>
    <row r="15" spans="2:10" x14ac:dyDescent="0.25">
      <c r="B15" s="28" t="s">
        <v>38</v>
      </c>
      <c r="C15" s="30">
        <v>146.33760000000001</v>
      </c>
      <c r="D15" s="30">
        <v>102.43631999999999</v>
      </c>
      <c r="E15" s="26">
        <v>1</v>
      </c>
      <c r="F15" s="31">
        <v>6.7523809523809524</v>
      </c>
      <c r="G15" s="31">
        <v>4.7266666666666666</v>
      </c>
      <c r="H15" s="31">
        <v>1.1575510204081632</v>
      </c>
      <c r="I15" s="31">
        <v>0.81028571428571416</v>
      </c>
      <c r="J15" s="106">
        <v>0.30000000000000004</v>
      </c>
    </row>
    <row r="16" spans="2:10" x14ac:dyDescent="0.25">
      <c r="B16" s="18" t="s">
        <v>98</v>
      </c>
      <c r="C16" s="30">
        <v>146.33760000000001</v>
      </c>
      <c r="D16" s="30">
        <v>102.43631999999999</v>
      </c>
      <c r="E16" s="26">
        <v>1</v>
      </c>
      <c r="F16" s="31">
        <v>6.7523809523809524</v>
      </c>
      <c r="G16" s="31">
        <v>4.7266666666666666</v>
      </c>
      <c r="H16" s="31">
        <v>1.1575510204081632</v>
      </c>
      <c r="I16" s="31">
        <v>0.81028571428571416</v>
      </c>
      <c r="J16" s="106">
        <v>0.30000000000000004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</sheetData>
  <mergeCells count="1">
    <mergeCell ref="B7:J7"/>
  </mergeCells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FFB6-3D02-4EBA-8D63-B42B9C5AED1C}">
  <sheetPr>
    <tabColor rgb="FF92D050"/>
  </sheetPr>
  <dimension ref="A1:H62"/>
  <sheetViews>
    <sheetView showWhiteSpace="0" view="pageLayout" zoomScale="80" zoomScaleNormal="100" zoomScalePageLayoutView="80" workbookViewId="0">
      <selection activeCell="B8" sqref="B8"/>
    </sheetView>
  </sheetViews>
  <sheetFormatPr baseColWidth="10" defaultColWidth="9.140625" defaultRowHeight="12.75" x14ac:dyDescent="0.2"/>
  <cols>
    <col min="1" max="1" bestFit="true" customWidth="true" style="61" width="55.140625"/>
    <col min="2" max="2" bestFit="true" customWidth="true" style="62" width="9.5703125"/>
    <col min="3" max="3" bestFit="true" customWidth="true" style="68" width="11.7109375"/>
    <col min="4" max="4" bestFit="true" customWidth="true" style="49" width="8.85546875"/>
    <col min="5" max="5" bestFit="true" customWidth="true" style="49" width="14.140625"/>
    <col min="6" max="6" bestFit="true" customWidth="true" style="22" width="15.7109375"/>
    <col min="7" max="7" bestFit="true" customWidth="true" style="49" width="13.0"/>
    <col min="8" max="8" bestFit="true" customWidth="true" style="49" width="16.140625"/>
    <col min="9" max="10" bestFit="true" customWidth="true" style="49" width="36.5703125"/>
    <col min="11" max="35" bestFit="true" customWidth="true" style="49" width="22.140625"/>
    <col min="36" max="36" bestFit="true" customWidth="true" style="49" width="26.28515625"/>
    <col min="37" max="37" bestFit="true" customWidth="true" style="49" width="25.7109375"/>
    <col min="38" max="38" bestFit="true" customWidth="true" style="49" width="27.140625"/>
    <col min="39" max="16384" style="49" width="9.140625"/>
  </cols>
  <sheetData>
    <row r="1" spans="1:7" ht="15" x14ac:dyDescent="0.25">
      <c r="A1" s="50" t="s">
        <v>66</v>
      </c>
      <c r="B1" s="50"/>
      <c r="C1" s="50"/>
      <c r="D1" s="50"/>
      <c r="E1" s="50"/>
      <c r="F1" s="50"/>
      <c r="G1" s="50"/>
    </row>
    <row r="2" spans="1:7" ht="15" x14ac:dyDescent="0.25">
      <c r="A2" s="56"/>
      <c r="B2" s="57"/>
      <c r="C2" s="56"/>
      <c r="E2" s="47" t="s">
        <v>67</v>
      </c>
      <c r="F2" t="s" s="22">
        <v>69</v>
      </c>
      <c r="G2" s="49"/>
    </row>
    <row r="3" spans="1:7" ht="15" x14ac:dyDescent="0.25">
      <c r="A3" s="56"/>
      <c r="B3" s="57"/>
      <c r="C3" s="56"/>
      <c r="E3" s="47" t="s">
        <v>68</v>
      </c>
      <c r="F3" s="51">
        <f ca="1">TODAY()</f>
        <v>45869</v>
      </c>
      <c r="G3" s="51"/>
    </row>
    <row r="4" spans="1:7" ht="15" x14ac:dyDescent="0.25">
      <c r="A4" s="56"/>
      <c r="B4" s="57"/>
      <c r="C4" s="56"/>
      <c r="D4" s="5"/>
      <c r="E4" s="5"/>
      <c r="F4" s="5"/>
    </row>
    <row r="5" spans="1:7" ht="15" x14ac:dyDescent="0.25">
      <c r="A5" s="56"/>
      <c r="B5" s="57"/>
      <c r="C5" s="56"/>
      <c r="D5" s="49"/>
      <c r="E5" s="87" t="s">
        <v>70</v>
      </c>
      <c r="F5" s="87"/>
    </row>
    <row r="6" spans="1:7" ht="15" x14ac:dyDescent="0.25">
      <c r="A6" s="56"/>
      <c r="B6" s="57"/>
      <c r="C6" s="56"/>
      <c r="D6" s="49"/>
      <c r="E6" s="48"/>
      <c r="F6" s="48"/>
    </row>
    <row r="7" spans="1:7" ht="7.5" customHeight="1" x14ac:dyDescent="0.25">
      <c r="A7" s="58"/>
      <c r="B7" s="59"/>
      <c r="C7" s="58"/>
      <c r="D7" s="46"/>
      <c r="E7" s="46"/>
      <c r="F7" s="46"/>
      <c r="G7" s="52"/>
    </row>
    <row r="8" spans="1:7" ht="15" x14ac:dyDescent="0.25">
      <c r="A8" s="60" t="s">
        <v>71</v>
      </c>
      <c r="B8" s="88" t="str">
        <f>'QTO DB'!$C$2</f>
        <v>MINEDU</v>
      </c>
      <c r="C8" s="57"/>
      <c r="D8" s="53" t="s">
        <v>73</v>
      </c>
      <c r="E8" s="29" t="str">
        <f>'QTO DB'!$C$4</f>
        <v>JUAN ASTO</v>
      </c>
      <c r="F8" s="22"/>
    </row>
    <row r="9" spans="1:7" ht="7.5" customHeight="1" x14ac:dyDescent="0.25">
      <c r="A9" s="58"/>
      <c r="B9" s="59"/>
      <c r="C9" s="58"/>
      <c r="D9" s="46"/>
      <c r="E9" s="46"/>
      <c r="F9" s="46"/>
      <c r="G9" s="52"/>
    </row>
    <row r="10" spans="1:7" ht="13.5" thickBot="1" x14ac:dyDescent="0.25">
      <c r="B10" s="67"/>
    </row>
    <row r="11" spans="1:7" ht="16.5" customHeight="1" thickBot="1" x14ac:dyDescent="0.3">
      <c r="A11" s="79" t="s">
        <v>81</v>
      </c>
      <c r="B11" s="80"/>
      <c r="C11" s="80"/>
      <c r="D11" s="80"/>
      <c r="E11" s="80"/>
      <c r="F11" s="80"/>
      <c r="G11" s="81"/>
    </row>
    <row r="12" spans="1:7" ht="13.5" thickBot="1" x14ac:dyDescent="0.25">
      <c r="B12" s="67"/>
      <c r="C12" s="89" t="s">
        <v>61</v>
      </c>
      <c r="D12" s="90" t="s">
        <v>65</v>
      </c>
    </row>
    <row r="13" spans="1:7" ht="6.75" customHeight="1" thickBot="1" x14ac:dyDescent="0.25">
      <c r="B13" s="67"/>
    </row>
    <row r="14" spans="1:7" ht="26.25" thickBot="1" x14ac:dyDescent="0.25">
      <c r="A14" s="63" t="s">
        <v>92</v>
      </c>
      <c r="B14" s="85" t="s">
        <v>2</v>
      </c>
      <c r="C14" s="91" t="s">
        <v>80</v>
      </c>
    </row>
    <row r="15" spans="1:7" ht="26.25" thickBot="1" x14ac:dyDescent="0.25">
      <c r="A15" s="64" t="s">
        <v>93</v>
      </c>
      <c r="B15" s="86">
        <f>'QTO DB'!C7</f>
        <v>1204</v>
      </c>
      <c r="C15" s="92">
        <v>0</v>
      </c>
    </row>
    <row r="16" spans="1:7" ht="13.5" thickBot="1" x14ac:dyDescent="0.25">
      <c r="A16" s="65"/>
      <c r="B16" s="67"/>
      <c r="C16" s="61"/>
    </row>
    <row r="17" spans="1:8" ht="15.75" thickBot="1" x14ac:dyDescent="0.3">
      <c r="A17" s="82" t="s">
        <v>82</v>
      </c>
      <c r="B17" s="83"/>
      <c r="C17" s="83"/>
      <c r="D17" s="83"/>
      <c r="E17" s="83"/>
      <c r="F17" s="83"/>
      <c r="G17" s="84"/>
    </row>
    <row r="18" spans="1:8" hidden="1" x14ac:dyDescent="0.2">
      <c r="A18" s="93" t="s">
        <v>61</v>
      </c>
      <c r="B18" s="110" t="s">
        <v>65</v>
      </c>
      <c r="C18" s="61"/>
      <c r="G18" s="54"/>
    </row>
    <row r="19" spans="1:8" ht="4.5" customHeight="1" x14ac:dyDescent="0.2">
      <c r="A19" s="66"/>
      <c r="B19" s="67"/>
      <c r="C19" s="61"/>
      <c r="G19" s="54"/>
    </row>
    <row r="20" spans="1:8" ht="15" x14ac:dyDescent="0.25">
      <c r="A20" s="69" t="s">
        <v>75</v>
      </c>
      <c r="B20" s="70" t="s">
        <v>9</v>
      </c>
      <c r="C20" s="71" t="s">
        <v>76</v>
      </c>
      <c r="D20" s="55" t="s">
        <v>79</v>
      </c>
      <c r="E20" s="55" t="s">
        <v>77</v>
      </c>
      <c r="F20" s="55" t="s">
        <v>78</v>
      </c>
      <c r="G20" s="49"/>
      <c r="H20" s="49"/>
    </row>
    <row r="21" spans="1:8" ht="15" x14ac:dyDescent="0.25">
      <c r="A21" s="94" t="s">
        <v>38</v>
      </c>
      <c r="B21" s="55"/>
      <c r="C21" s="72">
        <v>121.54285714285714</v>
      </c>
      <c r="D21" s="74">
        <v>0</v>
      </c>
      <c r="E21" s="73">
        <v>121.54285714285714</v>
      </c>
      <c r="F21" s="73">
        <v>146337.60000000001</v>
      </c>
      <c r="G21" s="49"/>
      <c r="H21" s="49"/>
    </row>
    <row r="22" spans="1:8" ht="15" x14ac:dyDescent="0.25">
      <c r="A22" s="95" t="s">
        <v>31</v>
      </c>
      <c r="B22" s="96">
        <v>1204</v>
      </c>
      <c r="C22" s="72">
        <v>121.54285714285714</v>
      </c>
      <c r="D22" s="74">
        <v>0</v>
      </c>
      <c r="E22" s="73">
        <v>121.54285714285714</v>
      </c>
      <c r="F22" s="73">
        <v>146337.60000000001</v>
      </c>
      <c r="G22" s="49"/>
      <c r="H22" s="49"/>
    </row>
    <row r="23" spans="1:8" ht="15" x14ac:dyDescent="0.25">
      <c r="A23" s="71" t="s">
        <v>98</v>
      </c>
      <c r="B23" s="71"/>
      <c r="C23" s="72">
        <v>121.54285714285714</v>
      </c>
      <c r="D23" s="74">
        <v>0</v>
      </c>
      <c r="E23" s="73">
        <v>121.54285714285714</v>
      </c>
      <c r="F23" s="73">
        <v>146337.60000000001</v>
      </c>
      <c r="G23" s="49"/>
      <c r="H23" s="49"/>
    </row>
    <row r="24" spans="1:8" ht="15" x14ac:dyDescent="0.25">
      <c r="A24" s="61"/>
      <c r="B24" s="62"/>
      <c r="C24" s="68"/>
      <c r="D24" s="49"/>
      <c r="E24" s="49"/>
      <c r="F24" s="22"/>
      <c r="G24" s="49"/>
      <c r="H24" s="49"/>
    </row>
    <row r="25" spans="1:8" ht="15" x14ac:dyDescent="0.25">
      <c r="A25" s="61"/>
      <c r="B25" s="62"/>
      <c r="C25" s="68"/>
      <c r="D25" s="49"/>
      <c r="E25" s="49"/>
      <c r="F25" s="22"/>
      <c r="G25" s="49"/>
      <c r="H25" s="49"/>
    </row>
    <row r="26" spans="1:8" ht="15" x14ac:dyDescent="0.25">
      <c r="A26" s="61"/>
      <c r="B26" s="62"/>
      <c r="C26" s="68"/>
      <c r="D26" s="49"/>
      <c r="E26" s="49"/>
      <c r="F26" s="22"/>
      <c r="G26" s="49"/>
      <c r="H26" s="49"/>
    </row>
    <row r="27" spans="1:8" ht="15" x14ac:dyDescent="0.25">
      <c r="A27" s="61"/>
      <c r="B27" s="62"/>
      <c r="C27" s="68"/>
      <c r="D27" s="49"/>
      <c r="E27" s="49"/>
      <c r="F27" s="22"/>
      <c r="G27" s="49"/>
      <c r="H27" s="49"/>
    </row>
    <row r="28" spans="1:8" ht="15" x14ac:dyDescent="0.25">
      <c r="A28" s="61"/>
      <c r="B28" s="62"/>
      <c r="C28" s="68"/>
      <c r="D28" s="49"/>
      <c r="E28" s="49"/>
      <c r="F28" s="22"/>
      <c r="G28" s="49"/>
      <c r="H28" s="49"/>
    </row>
    <row r="29" spans="1:8" ht="15" x14ac:dyDescent="0.25">
      <c r="A29" s="61"/>
      <c r="B29" s="62"/>
      <c r="C29" s="68"/>
      <c r="D29" s="49"/>
      <c r="E29" s="49"/>
      <c r="F29" s="22"/>
      <c r="G29" s="49"/>
      <c r="H29" s="49"/>
    </row>
    <row r="30" spans="1:8" ht="15" x14ac:dyDescent="0.25">
      <c r="A30" s="61"/>
      <c r="B30" s="62"/>
      <c r="C30" s="68"/>
      <c r="D30" s="49"/>
      <c r="E30" s="49"/>
      <c r="F30" s="22"/>
      <c r="G30" s="49"/>
      <c r="H30" s="49"/>
    </row>
    <row r="31" spans="1:8" ht="15" x14ac:dyDescent="0.25">
      <c r="A31" s="61"/>
      <c r="B31" s="62"/>
      <c r="C31" s="68"/>
      <c r="D31" s="49"/>
      <c r="E31" s="49"/>
      <c r="F31" s="22"/>
      <c r="G31" s="49"/>
      <c r="H31" s="49"/>
    </row>
    <row r="32" spans="1:8" ht="15" x14ac:dyDescent="0.25">
      <c r="A32" s="61"/>
      <c r="B32" s="62"/>
      <c r="C32" s="68"/>
      <c r="D32" s="49"/>
      <c r="E32" s="49"/>
      <c r="F32" s="22"/>
    </row>
    <row r="33" spans="1:7" ht="15" x14ac:dyDescent="0.25">
      <c r="A33" s="61"/>
      <c r="B33" s="62"/>
      <c r="C33" s="68"/>
      <c r="D33" s="49"/>
      <c r="E33" s="49"/>
      <c r="F33" s="22"/>
      <c r="G33" s="77"/>
    </row>
    <row r="34" spans="1:7" ht="15" x14ac:dyDescent="0.25">
      <c r="A34" s="61"/>
      <c r="B34" s="62"/>
      <c r="C34" s="68"/>
      <c r="D34" s="49"/>
      <c r="E34" s="49"/>
      <c r="F34" s="22"/>
    </row>
    <row r="35" spans="1:7" ht="15" x14ac:dyDescent="0.25">
      <c r="A35" s="61"/>
      <c r="B35" s="62"/>
      <c r="C35" s="68"/>
      <c r="D35" s="49"/>
      <c r="E35" s="49"/>
      <c r="F35" s="22"/>
    </row>
    <row r="36" spans="1:7" ht="15" x14ac:dyDescent="0.25">
      <c r="A36" s="61"/>
      <c r="B36" s="62"/>
      <c r="C36" s="68"/>
      <c r="D36" s="49"/>
      <c r="E36" s="49"/>
      <c r="F36" s="22"/>
    </row>
    <row r="37" spans="1:7" ht="15.75" thickBot="1" x14ac:dyDescent="0.3">
      <c r="A37" s="61"/>
      <c r="B37" s="62"/>
      <c r="C37" s="68"/>
      <c r="D37" s="49"/>
      <c r="E37" s="49"/>
      <c r="F37" s="22"/>
    </row>
    <row r="38" spans="1:7" ht="15" x14ac:dyDescent="0.25">
      <c r="A38" s="61"/>
      <c r="B38" s="62"/>
      <c r="C38" s="68"/>
      <c r="D38" s="49"/>
      <c r="E38" s="49"/>
      <c r="F38" s="22"/>
      <c r="G38" s="75"/>
    </row>
    <row r="39" spans="1:7" ht="15.75" thickBot="1" x14ac:dyDescent="0.3">
      <c r="A39" s="61"/>
      <c r="B39" s="62"/>
      <c r="C39" s="68"/>
      <c r="D39" s="49"/>
      <c r="E39" s="49"/>
      <c r="F39" s="22"/>
      <c r="G39" s="76"/>
    </row>
    <row r="40" spans="1:7" ht="15" x14ac:dyDescent="0.25">
      <c r="A40" s="61"/>
      <c r="B40" s="62"/>
      <c r="C40" s="68"/>
      <c r="D40" s="49"/>
      <c r="E40" s="49"/>
      <c r="F40" s="22"/>
    </row>
    <row r="41" spans="1:7" ht="15" x14ac:dyDescent="0.25">
      <c r="A41" s="61"/>
      <c r="B41" s="62"/>
      <c r="C41" s="68"/>
      <c r="D41" s="49"/>
      <c r="E41" s="49"/>
      <c r="F41" s="22"/>
    </row>
    <row r="42" spans="1:7" ht="15" x14ac:dyDescent="0.25">
      <c r="A42" s="61"/>
      <c r="B42" s="62"/>
      <c r="C42" s="68"/>
      <c r="D42" s="49"/>
      <c r="E42" s="49"/>
      <c r="F42" s="22"/>
    </row>
    <row r="43" spans="1:7" ht="15" x14ac:dyDescent="0.25">
      <c r="A43" s="61"/>
      <c r="B43" s="62"/>
      <c r="C43" s="68"/>
      <c r="D43" s="49"/>
      <c r="E43" s="49"/>
      <c r="F43" s="22"/>
    </row>
    <row r="44" spans="1:7" ht="15" x14ac:dyDescent="0.25">
      <c r="A44" s="61"/>
      <c r="B44" s="62"/>
      <c r="C44" s="68"/>
      <c r="D44" s="49"/>
      <c r="E44" s="49"/>
      <c r="F44" s="22"/>
    </row>
    <row r="45" spans="1:7" ht="15" x14ac:dyDescent="0.25">
      <c r="A45" s="61"/>
      <c r="B45" s="62"/>
      <c r="C45" s="68"/>
      <c r="D45" s="49"/>
      <c r="E45" s="49"/>
      <c r="F45" s="22"/>
    </row>
    <row r="46" spans="1:7" ht="15" x14ac:dyDescent="0.25">
      <c r="A46" s="61"/>
      <c r="B46" s="62"/>
      <c r="C46" s="68"/>
      <c r="D46" s="49"/>
      <c r="E46" s="49"/>
      <c r="F46" s="22"/>
    </row>
    <row r="47" spans="1:7" ht="15" x14ac:dyDescent="0.25">
      <c r="A47" s="61"/>
      <c r="B47" s="62"/>
      <c r="C47" s="68"/>
      <c r="D47" s="49"/>
      <c r="E47" s="49"/>
      <c r="F47" s="22"/>
    </row>
    <row r="48" spans="1:7" ht="15" x14ac:dyDescent="0.25">
      <c r="A48" s="61"/>
      <c r="B48" s="62"/>
      <c r="C48" s="68"/>
      <c r="D48" s="49"/>
      <c r="E48" s="49"/>
      <c r="F48" s="22"/>
    </row>
    <row r="49" spans="1:7" ht="15" x14ac:dyDescent="0.25">
      <c r="A49" s="61"/>
      <c r="B49" s="62"/>
      <c r="C49" s="68"/>
      <c r="D49" s="49"/>
      <c r="E49" s="49"/>
      <c r="F49" s="22"/>
    </row>
    <row r="50" spans="1:7" ht="15" x14ac:dyDescent="0.25">
      <c r="A50" s="61"/>
      <c r="B50" s="62"/>
      <c r="C50" s="68"/>
      <c r="D50" s="49"/>
      <c r="E50" s="49"/>
      <c r="F50" s="22"/>
      <c r="G50" s="78"/>
    </row>
    <row r="51" spans="1:7" ht="15" x14ac:dyDescent="0.25">
      <c r="A51" s="61"/>
      <c r="B51" s="62"/>
      <c r="C51" s="68"/>
      <c r="D51" s="49"/>
      <c r="E51" s="49"/>
      <c r="F51" s="22"/>
    </row>
    <row r="52" spans="1:7" ht="15" x14ac:dyDescent="0.25">
      <c r="A52" s="61"/>
      <c r="B52" s="62"/>
      <c r="C52" s="68"/>
      <c r="D52" s="49"/>
      <c r="E52" s="49"/>
      <c r="F52" s="22"/>
    </row>
    <row r="53" spans="1:7" ht="15" x14ac:dyDescent="0.25">
      <c r="A53" s="61"/>
      <c r="B53" s="62"/>
      <c r="C53" s="68"/>
      <c r="D53" s="49"/>
      <c r="E53" s="49"/>
      <c r="F53" s="22"/>
    </row>
    <row r="54" spans="1:7" x14ac:dyDescent="0.2">
      <c r="A54" s="49" t="s">
        <v>83</v>
      </c>
      <c r="B54" s="49"/>
      <c r="C54" s="49"/>
      <c r="F54" s="49"/>
    </row>
    <row r="55" spans="1:7" x14ac:dyDescent="0.2">
      <c r="A55" s="49" t="s">
        <v>84</v>
      </c>
      <c r="B55" s="49"/>
      <c r="C55" s="49"/>
      <c r="F55" s="49"/>
    </row>
    <row r="56" spans="1:7" x14ac:dyDescent="0.2">
      <c r="A56" s="49" t="s">
        <v>85</v>
      </c>
      <c r="B56" s="49"/>
      <c r="C56" s="49"/>
      <c r="F56" s="49"/>
    </row>
    <row r="57" spans="1:7" x14ac:dyDescent="0.2">
      <c r="A57" s="49" t="s">
        <v>86</v>
      </c>
      <c r="B57" s="49"/>
      <c r="C57" s="49"/>
      <c r="F57" s="49"/>
    </row>
    <row r="58" spans="1:7" x14ac:dyDescent="0.2">
      <c r="A58" s="49" t="s">
        <v>87</v>
      </c>
      <c r="B58" s="49"/>
      <c r="C58" s="49"/>
      <c r="F58" s="49"/>
    </row>
    <row r="59" spans="1:7" x14ac:dyDescent="0.2">
      <c r="A59" s="49" t="s">
        <v>88</v>
      </c>
      <c r="B59" s="49"/>
      <c r="C59" s="49"/>
      <c r="F59" s="49"/>
    </row>
    <row r="60" spans="1:7" x14ac:dyDescent="0.2">
      <c r="A60" s="49" t="s">
        <v>89</v>
      </c>
      <c r="B60" s="49"/>
      <c r="C60" s="49"/>
      <c r="F60" s="49"/>
    </row>
    <row r="61" spans="1:7" x14ac:dyDescent="0.2">
      <c r="A61" s="49" t="s">
        <v>90</v>
      </c>
      <c r="B61" s="49"/>
      <c r="C61" s="49"/>
      <c r="F61" s="49"/>
    </row>
    <row r="62" spans="1:7" x14ac:dyDescent="0.2">
      <c r="A62" s="49" t="s">
        <v>91</v>
      </c>
      <c r="B62" s="49"/>
      <c r="C62" s="49"/>
      <c r="F62" s="49"/>
    </row>
  </sheetData>
  <pageMargins left="0.25" right="0.25" top="0.25" bottom="0.25" header="0.3" footer="0.3"/>
  <pageSetup scale="70" orientation="portrait" r:id="rId3"/>
  <drawing r:id="rId4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yes"?><Relationships xmlns="http://schemas.openxmlformats.org/package/2006/relationships"><Relationship Id="rId1" Target="itemProps4.xml" Type="http://schemas.openxmlformats.org/officeDocument/2006/relationships/customXmlProps"/></Relationships>
</file>

<file path=customXml/_rels/item5.xml.rels><?xml version="1.0" encoding="UTF-8" standalone="yes"?><Relationships xmlns="http://schemas.openxmlformats.org/package/2006/relationships"><Relationship Id="rId1" Target="itemProps5.xml" Type="http://schemas.openxmlformats.org/officeDocument/2006/relationships/customXmlProps"/></Relationships>
</file>

<file path=customXml/_rels/item6.xml.rels><?xml version="1.0" encoding="UTF-8" standalone="yes"?><Relationships xmlns="http://schemas.openxmlformats.org/package/2006/relationships"><Relationship Id="rId1" Target="itemProps6.xml" Type="http://schemas.openxmlformats.org/officeDocument/2006/relationships/customXmlProps"/></Relationships>
</file>

<file path=customXml/_rels/item7.xml.rels><?xml version="1.0" encoding="UTF-8" standalone="yes"?><Relationships xmlns="http://schemas.openxmlformats.org/package/2006/relationships"><Relationship Id="rId1" Target="itemProps7.xml" Type="http://schemas.openxmlformats.org/officeDocument/2006/relationships/customXmlProps"/></Relationships>
</file>

<file path=customXml/_rels/item8.xml.rels><?xml version="1.0" encoding="UTF-8" standalone="yes"?><Relationships xmlns="http://schemas.openxmlformats.org/package/2006/relationships"><Relationship Id="rId1" Target="itemProps8.xml" Type="http://schemas.openxmlformats.org/officeDocument/2006/relationships/customXmlProps"/></Relationships>
</file>

<file path=customXml/_rels/item9.xml.rels><?xml version="1.0" encoding="UTF-8" standalone="yes"?><Relationships xmlns="http://schemas.openxmlformats.org/package/2006/relationships"><Relationship Id="rId1" Target="itemProps9.xml" Type="http://schemas.openxmlformats.org/officeDocument/2006/relationships/customXmlProps"/></Relationships>
</file>

<file path=customXml/_rels/item10.xml.rels><?xml version="1.0" encoding="UTF-8" standalone="yes"?><Relationships xmlns="http://schemas.openxmlformats.org/package/2006/relationships"><Relationship Id="rId1" Target="itemProps10.xml" Type="http://schemas.openxmlformats.org/officeDocument/2006/relationships/customXmlProps"/></Relationships>
</file>

<file path=customXml/_rels/item11.xml.rels><?xml version="1.0" encoding="UTF-8" standalone="yes"?><Relationships xmlns="http://schemas.openxmlformats.org/package/2006/relationships"><Relationship Id="rId1" Target="itemProps11.xml" Type="http://schemas.openxmlformats.org/officeDocument/2006/relationships/customXmlProps"/></Relationships>
</file>

<file path=customXml/_rels/item12.xml.rels><?xml version="1.0" encoding="UTF-8" standalone="yes"?><Relationships xmlns="http://schemas.openxmlformats.org/package/2006/relationships"><Relationship Id="rId1" Target="itemProps12.xml" Type="http://schemas.openxmlformats.org/officeDocument/2006/relationships/customXmlProps"/></Relationships>
</file>

<file path=customXml/_rels/item13.xml.rels><?xml version="1.0" encoding="UTF-8" standalone="yes"?><Relationships xmlns="http://schemas.openxmlformats.org/package/2006/relationships"><Relationship Id="rId1" Target="itemProps13.xml" Type="http://schemas.openxmlformats.org/officeDocument/2006/relationships/customXmlProps"/></Relationships>
</file>

<file path=customXml/_rels/item14.xml.rels><?xml version="1.0" encoding="UTF-8" standalone="yes"?><Relationships xmlns="http://schemas.openxmlformats.org/package/2006/relationships"><Relationship Id="rId1" Target="itemProps14.xml" Type="http://schemas.openxmlformats.org/officeDocument/2006/relationships/customXmlProps"/></Relationships>
</file>

<file path=customXml/_rels/item15.xml.rels><?xml version="1.0" encoding="UTF-8" standalone="yes"?><Relationships xmlns="http://schemas.openxmlformats.org/package/2006/relationships"><Relationship Id="rId1" Target="itemProps15.xml" Type="http://schemas.openxmlformats.org/officeDocument/2006/relationships/customXmlProps"/></Relationships>
</file>

<file path=customXml/_rels/item16.xml.rels><?xml version="1.0" encoding="UTF-8" standalone="yes"?><Relationships xmlns="http://schemas.openxmlformats.org/package/2006/relationships"><Relationship Id="rId1" Target="itemProps16.xml" Type="http://schemas.openxmlformats.org/officeDocument/2006/relationships/customXmlProps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E1C117BD-CC39-4C2E-B165-56EE5D7253CA}">
  <ds:schemaRefs/>
</ds:datastoreItem>
</file>

<file path=customXml/itemProps2.xml><?xml version="1.0" encoding="utf-8"?>
<ds:datastoreItem xmlns:ds="http://schemas.openxmlformats.org/officeDocument/2006/customXml" ds:itemID="{22085103-5AF8-45F7-A921-D3F696718303}">
  <ds:schemaRefs/>
</ds:datastoreItem>
</file>

<file path=customXml/itemProps3.xml><?xml version="1.0" encoding="utf-8"?>
<ds:datastoreItem xmlns:ds="http://schemas.openxmlformats.org/officeDocument/2006/customXml" ds:itemID="{5AAA03D9-9294-4846-9C9F-7585BED814C6}">
  <ds:schemaRefs/>
</ds:datastoreItem>
</file>

<file path=customXml/itemProps4.xml><?xml version="1.0" encoding="utf-8"?>
<ds:datastoreItem xmlns:ds="http://schemas.openxmlformats.org/officeDocument/2006/customXml" ds:itemID="{2DA789E3-279C-4BD5-A1D2-0007B075E9D8}">
  <ds:schemaRefs/>
</ds:datastoreItem>
</file>

<file path=customXml/itemProps5.xml><?xml version="1.0" encoding="utf-8"?>
<ds:datastoreItem xmlns:ds="http://schemas.openxmlformats.org/officeDocument/2006/customXml" ds:itemID="{C6DAFE99-5876-4910-82FC-A29BE98B9CCE}">
  <ds:schemaRefs/>
</ds:datastoreItem>
</file>

<file path=customXml/itemProps6.xml><?xml version="1.0" encoding="utf-8"?>
<ds:datastoreItem xmlns:ds="http://schemas.openxmlformats.org/officeDocument/2006/customXml" ds:itemID="{8D11A897-E61C-49D4-BF8A-3CEBB0830B90}">
  <ds:schemaRefs/>
</ds:datastoreItem>
</file>

<file path=customXml/itemProps7.xml><?xml version="1.0" encoding="utf-8"?>
<ds:datastoreItem xmlns:ds="http://schemas.openxmlformats.org/officeDocument/2006/customXml" ds:itemID="{175629A0-789F-49D3-8B04-1ACB96DB6D11}">
  <ds:schemaRefs/>
</ds:datastoreItem>
</file>

<file path=customXml/itemProps8.xml><?xml version="1.0" encoding="utf-8"?>
<ds:datastoreItem xmlns:ds="http://schemas.openxmlformats.org/officeDocument/2006/customXml" ds:itemID="{3576AA77-59A4-4E44-8F31-9E6A83DFA1D6}">
  <ds:schemaRefs/>
</ds:datastoreItem>
</file>

<file path=customXml/itemProps9.xml><?xml version="1.0" encoding="utf-8"?>
<ds:datastoreItem xmlns:ds="http://schemas.openxmlformats.org/officeDocument/2006/customXml" ds:itemID="{DF192AA1-7927-4EF4-827F-286DF75CA5F5}">
  <ds:schemaRefs/>
</ds:datastoreItem>
</file>

<file path=customXml/itemProps10.xml><?xml version="1.0" encoding="utf-8"?>
<ds:datastoreItem xmlns:ds="http://schemas.openxmlformats.org/officeDocument/2006/customXml" ds:itemID="{1D259002-2AC0-4DBD-A4E0-1E7701504FA9}">
  <ds:schemaRefs/>
</ds:datastoreItem>
</file>

<file path=customXml/itemProps11.xml><?xml version="1.0" encoding="utf-8"?>
<ds:datastoreItem xmlns:ds="http://schemas.openxmlformats.org/officeDocument/2006/customXml" ds:itemID="{7579400C-4346-4D27-9A64-BC982823294E}">
  <ds:schemaRefs/>
</ds:datastoreItem>
</file>

<file path=customXml/itemProps12.xml><?xml version="1.0" encoding="utf-8"?>
<ds:datastoreItem xmlns:ds="http://schemas.openxmlformats.org/officeDocument/2006/customXml" ds:itemID="{2346309B-135A-4B32-9008-05690003930E}">
  <ds:schemaRefs/>
</ds:datastoreItem>
</file>

<file path=customXml/itemProps13.xml><?xml version="1.0" encoding="utf-8"?>
<ds:datastoreItem xmlns:ds="http://schemas.openxmlformats.org/officeDocument/2006/customXml" ds:itemID="{A7F7E989-6337-43AF-9EFB-C2E2F4AAC736}">
  <ds:schemaRefs/>
</ds:datastoreItem>
</file>

<file path=customXml/itemProps14.xml><?xml version="1.0" encoding="utf-8"?>
<ds:datastoreItem xmlns:ds="http://schemas.openxmlformats.org/officeDocument/2006/customXml" ds:itemID="{DACC48A6-C215-4CEF-A7E1-39DBDC783237}">
  <ds:schemaRefs/>
</ds:datastoreItem>
</file>

<file path=customXml/itemProps15.xml><?xml version="1.0" encoding="utf-8"?>
<ds:datastoreItem xmlns:ds="http://schemas.openxmlformats.org/officeDocument/2006/customXml" ds:itemID="{FD4A4533-F440-4D0B-BCFA-820EFD35435A}">
  <ds:schemaRefs/>
</ds:datastoreItem>
</file>

<file path=customXml/itemProps16.xml><?xml version="1.0" encoding="utf-8"?>
<ds:datastoreItem xmlns:ds="http://schemas.openxmlformats.org/officeDocument/2006/customXml" ds:itemID="{E4165BA7-E500-4B86-AFF0-17790296AA0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QTO DB</vt:lpstr>
      <vt:lpstr>Margin Analysis</vt:lpstr>
      <vt:lpstr>Customer View</vt:lpstr>
      <vt:lpstr>'Customer View'!Área_de_impresión</vt:lpstr>
      <vt:lpstr>QTO_DB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2022-06-16T16:01:14Z</dcterms:created>
  <dc:creator>Asto, Juan</dc:creator>
  <cp:lastModifiedBy>Gabriel</cp:lastModifiedBy>
  <cp:lastPrinted>2024-01-23T21:48:55Z</cp:lastPrinted>
  <dcterms:modified xsi:type="dcterms:W3CDTF">2025-07-31T18:20:21Z</dcterms:modified>
</cp:coreProperties>
</file>