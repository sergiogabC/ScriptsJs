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\Documents\Scripts JS\CreateSheet\files\"/>
    </mc:Choice>
  </mc:AlternateContent>
  <xr:revisionPtr revIDLastSave="0" documentId="13_ncr:1_{3DF771A1-9989-489D-8156-9DCBC95FC685}" xr6:coauthVersionLast="47" xr6:coauthVersionMax="47" xr10:uidLastSave="{00000000-0000-0000-0000-000000000000}"/>
  <bookViews>
    <workbookView xWindow="20370" yWindow="-120" windowWidth="29040" windowHeight="15840" firstSheet="1" activeTab="1" xr2:uid="{559EE86B-E566-4BE5-8285-192BD44DC6E3}"/>
  </bookViews>
  <sheets>
    <sheet name="QTO" sheetId="59" state="hidden" r:id="rId1"/>
    <sheet name="QTO DB" sheetId="66" r:id="rId2"/>
    <sheet name="Margin Analysis" sheetId="65" r:id="rId3"/>
    <sheet name="Customer View" sheetId="68" r:id="rId4"/>
    <sheet name="FIELD SERVICES" sheetId="69" state="hidden" r:id="rId5"/>
    <sheet name="ZONAS PERU" sheetId="70" state="hidden" r:id="rId6"/>
    <sheet name="Resumen" sheetId="73" state="hidden" r:id="rId7"/>
    <sheet name="QTO Unlimited Service Plans" sheetId="74" state="hidden" r:id="rId8"/>
    <sheet name="CashFlow-HUGHES PRIME" sheetId="19" state="hidden" r:id="rId9"/>
    <sheet name="QTO EPAD SELVA - ITEM 1" sheetId="54" state="hidden" r:id="rId10"/>
    <sheet name="QTO EPAD SELVA - ITEM 2" sheetId="55" state="hidden" r:id="rId11"/>
    <sheet name="QTO EPAD SELVA - ITEM 3" sheetId="56" state="hidden" r:id="rId12"/>
  </sheets>
  <definedNames>
    <definedName name="_xlnm._FilterDatabase" localSheetId="0" hidden="1">QTO!$A$23:$M$33</definedName>
    <definedName name="_xlnm._FilterDatabase" localSheetId="1" hidden="1">'QTO DB'!$A$24:$X$24</definedName>
    <definedName name="_xlnm._FilterDatabase" localSheetId="9" hidden="1">'QTO EPAD SELVA - ITEM 1'!$A$24:$M$36</definedName>
    <definedName name="_xlnm._FilterDatabase" localSheetId="10" hidden="1">'QTO EPAD SELVA - ITEM 2'!$A$24:$M$36</definedName>
    <definedName name="_xlnm._FilterDatabase" localSheetId="11" hidden="1">'QTO EPAD SELVA - ITEM 3'!$A$24:$M$36</definedName>
    <definedName name="_xlcn.WorksheetConnection_QTOTEMPLATEJAN1724.xlsxTable11" hidden="1">Table1[]</definedName>
    <definedName name="Access_Points">#REF!</definedName>
    <definedName name="_xlnm.Print_Area" localSheetId="3">'Customer View'!$A$1:$G$64</definedName>
    <definedName name="Cabinets">#REF!</definedName>
    <definedName name="CustomerView">#REF!</definedName>
    <definedName name="Desktop_Pc">#REF!</definedName>
    <definedName name="Digital_Repository">#REF!</definedName>
    <definedName name="Installation___Support">#REF!</definedName>
    <definedName name="Managed_Capacity">#REF!</definedName>
    <definedName name="Network_O_M">#REF!</definedName>
    <definedName name="QTO_DB">Table1[]</definedName>
    <definedName name="Routers_Microtik">#REF!</definedName>
    <definedName name="Solar_Panels">#REF!</definedName>
    <definedName name="VSAT">#REF!</definedName>
    <definedName name="Web_Filetring">#REF!</definedName>
  </definedNames>
  <calcPr calcId="191029" iterate="1"/>
  <pivotCaches>
    <pivotCache cacheId="0" r:id="rId13"/>
    <pivotCache cacheId="8" r:id="rId14"/>
    <pivotCache cacheId="14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QTO TEMPLATE JAN1724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3" i="56" l="1"/>
  <c r="F221" i="56"/>
  <c r="O194" i="56"/>
  <c r="N194" i="56"/>
  <c r="N193" i="56"/>
  <c r="H174" i="56"/>
  <c r="E172" i="56"/>
  <c r="K166" i="56"/>
  <c r="J166" i="56"/>
  <c r="H166" i="56"/>
  <c r="K165" i="56"/>
  <c r="J165" i="56"/>
  <c r="H165" i="56"/>
  <c r="E165" i="56"/>
  <c r="G164" i="56"/>
  <c r="E164" i="56"/>
  <c r="I156" i="56"/>
  <c r="G156" i="56"/>
  <c r="E156" i="56"/>
  <c r="I155" i="56"/>
  <c r="G155" i="56" s="1"/>
  <c r="G154" i="56"/>
  <c r="E154" i="56"/>
  <c r="H154" i="56" s="1"/>
  <c r="J153" i="56"/>
  <c r="K153" i="56" s="1"/>
  <c r="I153" i="56"/>
  <c r="G153" i="56"/>
  <c r="H153" i="56" s="1"/>
  <c r="O193" i="56" s="1"/>
  <c r="J152" i="56"/>
  <c r="J158" i="56" s="1"/>
  <c r="J160" i="56" s="1"/>
  <c r="H152" i="56"/>
  <c r="G152" i="56"/>
  <c r="J145" i="56"/>
  <c r="K145" i="56" s="1"/>
  <c r="I145" i="56"/>
  <c r="G145" i="56"/>
  <c r="H145" i="56" s="1"/>
  <c r="I144" i="56"/>
  <c r="I143" i="56"/>
  <c r="G142" i="56"/>
  <c r="E142" i="56"/>
  <c r="J142" i="56" s="1"/>
  <c r="G141" i="56"/>
  <c r="J133" i="56"/>
  <c r="G133" i="56"/>
  <c r="H133" i="56" s="1"/>
  <c r="J132" i="56"/>
  <c r="G132" i="56"/>
  <c r="H132" i="56" s="1"/>
  <c r="K132" i="56" s="1"/>
  <c r="J131" i="56"/>
  <c r="K131" i="56" s="1"/>
  <c r="G131" i="56"/>
  <c r="H131" i="56" s="1"/>
  <c r="I130" i="56"/>
  <c r="G130" i="56" s="1"/>
  <c r="J129" i="56"/>
  <c r="H129" i="56"/>
  <c r="G129" i="56"/>
  <c r="I121" i="56"/>
  <c r="G121" i="56" s="1"/>
  <c r="E121" i="56"/>
  <c r="H121" i="56" s="1"/>
  <c r="G120" i="56"/>
  <c r="E120" i="56"/>
  <c r="J119" i="56"/>
  <c r="K119" i="56" s="1"/>
  <c r="H119" i="56"/>
  <c r="G119" i="56"/>
  <c r="J118" i="56"/>
  <c r="G118" i="56"/>
  <c r="H118" i="56" s="1"/>
  <c r="K118" i="56" s="1"/>
  <c r="G117" i="56"/>
  <c r="J116" i="56"/>
  <c r="I116" i="56"/>
  <c r="G116" i="56" s="1"/>
  <c r="E116" i="56"/>
  <c r="K108" i="56"/>
  <c r="J108" i="56"/>
  <c r="H108" i="56"/>
  <c r="G108" i="56"/>
  <c r="J107" i="56"/>
  <c r="G107" i="56"/>
  <c r="H107" i="56" s="1"/>
  <c r="K107" i="56" s="1"/>
  <c r="K106" i="56"/>
  <c r="J106" i="56"/>
  <c r="H106" i="56"/>
  <c r="G106" i="56"/>
  <c r="K105" i="56"/>
  <c r="J105" i="56"/>
  <c r="G105" i="56"/>
  <c r="H105" i="56" s="1"/>
  <c r="I104" i="56"/>
  <c r="G104" i="56"/>
  <c r="E104" i="56"/>
  <c r="I103" i="56"/>
  <c r="G103" i="56" s="1"/>
  <c r="I102" i="56"/>
  <c r="G102" i="56"/>
  <c r="I101" i="56"/>
  <c r="G101" i="56" s="1"/>
  <c r="H101" i="56"/>
  <c r="I100" i="56"/>
  <c r="G100" i="56"/>
  <c r="E100" i="56"/>
  <c r="I99" i="56"/>
  <c r="G99" i="56" s="1"/>
  <c r="I98" i="56"/>
  <c r="G98" i="56"/>
  <c r="J92" i="56"/>
  <c r="G92" i="56"/>
  <c r="H92" i="56" s="1"/>
  <c r="J91" i="56"/>
  <c r="G91" i="56"/>
  <c r="H91" i="56" s="1"/>
  <c r="K91" i="56" s="1"/>
  <c r="J90" i="56"/>
  <c r="K90" i="56" s="1"/>
  <c r="G90" i="56"/>
  <c r="H90" i="56" s="1"/>
  <c r="J89" i="56"/>
  <c r="G89" i="56"/>
  <c r="H89" i="56" s="1"/>
  <c r="K89" i="56" s="1"/>
  <c r="J88" i="56"/>
  <c r="G88" i="56"/>
  <c r="H88" i="56" s="1"/>
  <c r="K87" i="56"/>
  <c r="J87" i="56"/>
  <c r="G87" i="56"/>
  <c r="H87" i="56" s="1"/>
  <c r="J86" i="56"/>
  <c r="K86" i="56" s="1"/>
  <c r="G86" i="56"/>
  <c r="H86" i="56" s="1"/>
  <c r="I85" i="56"/>
  <c r="G85" i="56" s="1"/>
  <c r="H85" i="56"/>
  <c r="J84" i="56"/>
  <c r="H84" i="56"/>
  <c r="G84" i="56"/>
  <c r="J83" i="56"/>
  <c r="H83" i="56"/>
  <c r="G83" i="56"/>
  <c r="H77" i="56"/>
  <c r="J76" i="56"/>
  <c r="J77" i="56" s="1"/>
  <c r="G76" i="56"/>
  <c r="H76" i="56" s="1"/>
  <c r="I69" i="56"/>
  <c r="G69" i="56"/>
  <c r="I68" i="56"/>
  <c r="G68" i="56" s="1"/>
  <c r="I61" i="56"/>
  <c r="G61" i="56" s="1"/>
  <c r="E61" i="56"/>
  <c r="I60" i="56"/>
  <c r="G60" i="56" s="1"/>
  <c r="I53" i="56"/>
  <c r="G53" i="56" s="1"/>
  <c r="I52" i="56"/>
  <c r="G52" i="56"/>
  <c r="E52" i="56"/>
  <c r="J46" i="56"/>
  <c r="G46" i="56"/>
  <c r="H46" i="56" s="1"/>
  <c r="K46" i="56" s="1"/>
  <c r="J45" i="56"/>
  <c r="K45" i="56" s="1"/>
  <c r="G45" i="56"/>
  <c r="H45" i="56" s="1"/>
  <c r="K44" i="56"/>
  <c r="J44" i="56"/>
  <c r="G44" i="56"/>
  <c r="H44" i="56" s="1"/>
  <c r="J43" i="56"/>
  <c r="G43" i="56"/>
  <c r="H43" i="56" s="1"/>
  <c r="G42" i="56"/>
  <c r="J41" i="56"/>
  <c r="G41" i="56"/>
  <c r="H41" i="56" s="1"/>
  <c r="K41" i="56" s="1"/>
  <c r="G40" i="56"/>
  <c r="J33" i="56"/>
  <c r="G33" i="56"/>
  <c r="H33" i="56" s="1"/>
  <c r="K33" i="56" s="1"/>
  <c r="J32" i="56"/>
  <c r="H32" i="56"/>
  <c r="G32" i="56"/>
  <c r="J31" i="56"/>
  <c r="H31" i="56"/>
  <c r="K31" i="56" s="1"/>
  <c r="G31" i="56"/>
  <c r="J30" i="56"/>
  <c r="H30" i="56"/>
  <c r="G30" i="56"/>
  <c r="G29" i="56"/>
  <c r="J28" i="56"/>
  <c r="K28" i="56" s="1"/>
  <c r="G28" i="56"/>
  <c r="H28" i="56" s="1"/>
  <c r="G27" i="56"/>
  <c r="C20" i="56"/>
  <c r="I172" i="56" s="1"/>
  <c r="G172" i="56" s="1"/>
  <c r="C13" i="56"/>
  <c r="C12" i="56"/>
  <c r="C7" i="56"/>
  <c r="E101" i="56" s="1"/>
  <c r="J101" i="56" s="1"/>
  <c r="H6" i="56"/>
  <c r="G6" i="56"/>
  <c r="F223" i="55"/>
  <c r="O194" i="55"/>
  <c r="N194" i="55"/>
  <c r="H174" i="55"/>
  <c r="K166" i="55"/>
  <c r="J166" i="55"/>
  <c r="H166" i="55"/>
  <c r="E165" i="55"/>
  <c r="J165" i="55" s="1"/>
  <c r="I164" i="55"/>
  <c r="J164" i="55" s="1"/>
  <c r="E164" i="55"/>
  <c r="F219" i="55" s="1"/>
  <c r="I156" i="55"/>
  <c r="G156" i="55" s="1"/>
  <c r="I155" i="55"/>
  <c r="G155" i="55"/>
  <c r="H155" i="55" s="1"/>
  <c r="E155" i="55"/>
  <c r="J155" i="55" s="1"/>
  <c r="G154" i="55"/>
  <c r="I153" i="55"/>
  <c r="G153" i="55" s="1"/>
  <c r="H153" i="55" s="1"/>
  <c r="J152" i="55"/>
  <c r="K152" i="55" s="1"/>
  <c r="G152" i="55"/>
  <c r="H152" i="55" s="1"/>
  <c r="J145" i="55"/>
  <c r="I145" i="55"/>
  <c r="G145" i="55"/>
  <c r="H145" i="55" s="1"/>
  <c r="K145" i="55" s="1"/>
  <c r="K144" i="55"/>
  <c r="J144" i="55"/>
  <c r="I144" i="55"/>
  <c r="H144" i="55"/>
  <c r="G144" i="55"/>
  <c r="J143" i="55"/>
  <c r="K143" i="55" s="1"/>
  <c r="I143" i="55"/>
  <c r="G143" i="55" s="1"/>
  <c r="H143" i="55"/>
  <c r="G142" i="55"/>
  <c r="G141" i="55"/>
  <c r="K133" i="55"/>
  <c r="J133" i="55"/>
  <c r="H133" i="55"/>
  <c r="G133" i="55"/>
  <c r="J132" i="55"/>
  <c r="H132" i="55"/>
  <c r="G132" i="55"/>
  <c r="K131" i="55"/>
  <c r="J131" i="55"/>
  <c r="H131" i="55"/>
  <c r="G131" i="55"/>
  <c r="I130" i="55"/>
  <c r="G130" i="55"/>
  <c r="J129" i="55"/>
  <c r="K129" i="55" s="1"/>
  <c r="H129" i="55"/>
  <c r="G129" i="55"/>
  <c r="I128" i="55"/>
  <c r="I121" i="55"/>
  <c r="G121" i="55"/>
  <c r="G120" i="55"/>
  <c r="J119" i="55"/>
  <c r="K119" i="55" s="1"/>
  <c r="G119" i="55"/>
  <c r="H119" i="55" s="1"/>
  <c r="J118" i="55"/>
  <c r="G118" i="55"/>
  <c r="H118" i="55" s="1"/>
  <c r="G117" i="55"/>
  <c r="E117" i="55"/>
  <c r="H117" i="55" s="1"/>
  <c r="I116" i="55"/>
  <c r="G116" i="55" s="1"/>
  <c r="J108" i="55"/>
  <c r="G108" i="55"/>
  <c r="H108" i="55" s="1"/>
  <c r="K108" i="55" s="1"/>
  <c r="J107" i="55"/>
  <c r="G107" i="55"/>
  <c r="H107" i="55" s="1"/>
  <c r="J106" i="55"/>
  <c r="G106" i="55"/>
  <c r="H106" i="55" s="1"/>
  <c r="K106" i="55" s="1"/>
  <c r="J105" i="55"/>
  <c r="K105" i="55" s="1"/>
  <c r="H105" i="55"/>
  <c r="G105" i="55"/>
  <c r="I104" i="55"/>
  <c r="G104" i="55" s="1"/>
  <c r="E104" i="55"/>
  <c r="I103" i="55"/>
  <c r="G103" i="55" s="1"/>
  <c r="E103" i="55"/>
  <c r="I102" i="55"/>
  <c r="G102" i="55" s="1"/>
  <c r="I101" i="55"/>
  <c r="G101" i="55"/>
  <c r="E101" i="55"/>
  <c r="I100" i="55"/>
  <c r="G100" i="55" s="1"/>
  <c r="E100" i="55"/>
  <c r="J100" i="55" s="1"/>
  <c r="J99" i="55"/>
  <c r="K99" i="55" s="1"/>
  <c r="I99" i="55"/>
  <c r="G99" i="55" s="1"/>
  <c r="E99" i="55"/>
  <c r="H99" i="55" s="1"/>
  <c r="I98" i="55"/>
  <c r="G98" i="55" s="1"/>
  <c r="J92" i="55"/>
  <c r="H92" i="55"/>
  <c r="G92" i="55"/>
  <c r="J91" i="55"/>
  <c r="K91" i="55" s="1"/>
  <c r="H91" i="55"/>
  <c r="G91" i="55"/>
  <c r="J90" i="55"/>
  <c r="H90" i="55"/>
  <c r="G90" i="55"/>
  <c r="K89" i="55"/>
  <c r="J89" i="55"/>
  <c r="H89" i="55"/>
  <c r="G89" i="55"/>
  <c r="J88" i="55"/>
  <c r="K88" i="55" s="1"/>
  <c r="H88" i="55"/>
  <c r="G88" i="55"/>
  <c r="J87" i="55"/>
  <c r="K87" i="55" s="1"/>
  <c r="H87" i="55"/>
  <c r="G87" i="55"/>
  <c r="J86" i="55"/>
  <c r="H86" i="55"/>
  <c r="G86" i="55"/>
  <c r="J85" i="55"/>
  <c r="K85" i="55" s="1"/>
  <c r="H85" i="55"/>
  <c r="G85" i="55"/>
  <c r="I84" i="55"/>
  <c r="J84" i="55" s="1"/>
  <c r="K83" i="55"/>
  <c r="J83" i="55"/>
  <c r="J93" i="55" s="1"/>
  <c r="H83" i="55"/>
  <c r="G83" i="55"/>
  <c r="J79" i="55"/>
  <c r="H78" i="55"/>
  <c r="K77" i="55"/>
  <c r="J77" i="55"/>
  <c r="J76" i="55"/>
  <c r="K76" i="55" s="1"/>
  <c r="H76" i="55"/>
  <c r="H77" i="55" s="1"/>
  <c r="G76" i="55"/>
  <c r="I69" i="55"/>
  <c r="G69" i="55" s="1"/>
  <c r="I68" i="55"/>
  <c r="H68" i="55"/>
  <c r="H70" i="55" s="1"/>
  <c r="G68" i="55"/>
  <c r="E68" i="55"/>
  <c r="J68" i="55" s="1"/>
  <c r="I61" i="55"/>
  <c r="G61" i="55"/>
  <c r="I60" i="55"/>
  <c r="G60" i="55" s="1"/>
  <c r="J53" i="55"/>
  <c r="I53" i="55"/>
  <c r="G53" i="55"/>
  <c r="E53" i="55"/>
  <c r="H53" i="55" s="1"/>
  <c r="I52" i="55"/>
  <c r="G52" i="55" s="1"/>
  <c r="E52" i="55"/>
  <c r="J46" i="55"/>
  <c r="K46" i="55" s="1"/>
  <c r="H46" i="55"/>
  <c r="G46" i="55"/>
  <c r="J45" i="55"/>
  <c r="H45" i="55"/>
  <c r="G45" i="55"/>
  <c r="J44" i="55"/>
  <c r="H44" i="55"/>
  <c r="K44" i="55" s="1"/>
  <c r="G44" i="55"/>
  <c r="J43" i="55"/>
  <c r="H43" i="55"/>
  <c r="G43" i="55"/>
  <c r="G42" i="55"/>
  <c r="J41" i="55"/>
  <c r="G41" i="55"/>
  <c r="H41" i="55" s="1"/>
  <c r="G40" i="55"/>
  <c r="J33" i="55"/>
  <c r="G33" i="55"/>
  <c r="H33" i="55" s="1"/>
  <c r="K32" i="55"/>
  <c r="J32" i="55"/>
  <c r="H32" i="55"/>
  <c r="G32" i="55"/>
  <c r="J31" i="55"/>
  <c r="K31" i="55" s="1"/>
  <c r="G31" i="55"/>
  <c r="H31" i="55" s="1"/>
  <c r="J30" i="55"/>
  <c r="K30" i="55" s="1"/>
  <c r="H30" i="55"/>
  <c r="G30" i="55"/>
  <c r="G29" i="55"/>
  <c r="E29" i="55"/>
  <c r="H29" i="55" s="1"/>
  <c r="J28" i="55"/>
  <c r="G28" i="55"/>
  <c r="H28" i="55" s="1"/>
  <c r="K28" i="55" s="1"/>
  <c r="G27" i="55"/>
  <c r="E27" i="55"/>
  <c r="J27" i="55" s="1"/>
  <c r="C20" i="55"/>
  <c r="I172" i="55" s="1"/>
  <c r="G172" i="55" s="1"/>
  <c r="C12" i="55"/>
  <c r="C13" i="55" s="1"/>
  <c r="C7" i="55"/>
  <c r="E172" i="55" s="1"/>
  <c r="F223" i="54"/>
  <c r="O194" i="54"/>
  <c r="N194" i="54"/>
  <c r="H174" i="54"/>
  <c r="H175" i="54" s="1"/>
  <c r="K173" i="54"/>
  <c r="J166" i="54"/>
  <c r="H166" i="54"/>
  <c r="K166" i="54" s="1"/>
  <c r="H165" i="54"/>
  <c r="E165" i="54"/>
  <c r="J165" i="54" s="1"/>
  <c r="G164" i="54"/>
  <c r="E164" i="54"/>
  <c r="I156" i="54"/>
  <c r="G156" i="54" s="1"/>
  <c r="H156" i="54"/>
  <c r="I155" i="54"/>
  <c r="G155" i="54" s="1"/>
  <c r="E155" i="54"/>
  <c r="G154" i="54"/>
  <c r="I153" i="54"/>
  <c r="J152" i="54"/>
  <c r="G152" i="54"/>
  <c r="H152" i="54" s="1"/>
  <c r="J145" i="54"/>
  <c r="K145" i="54" s="1"/>
  <c r="I145" i="54"/>
  <c r="H145" i="54"/>
  <c r="G145" i="54"/>
  <c r="I144" i="54"/>
  <c r="G144" i="54" s="1"/>
  <c r="H144" i="54"/>
  <c r="I143" i="54"/>
  <c r="G142" i="54"/>
  <c r="J141" i="54"/>
  <c r="H141" i="54"/>
  <c r="G141" i="54"/>
  <c r="E141" i="54"/>
  <c r="H136" i="54"/>
  <c r="H135" i="54"/>
  <c r="K133" i="54"/>
  <c r="J133" i="54"/>
  <c r="H133" i="54"/>
  <c r="G133" i="54"/>
  <c r="J132" i="54"/>
  <c r="G132" i="54"/>
  <c r="H132" i="54" s="1"/>
  <c r="K132" i="54" s="1"/>
  <c r="K131" i="54"/>
  <c r="J131" i="54"/>
  <c r="H131" i="54"/>
  <c r="G131" i="54"/>
  <c r="I130" i="54"/>
  <c r="G130" i="54"/>
  <c r="J129" i="54"/>
  <c r="H129" i="54"/>
  <c r="G129" i="54"/>
  <c r="K128" i="54"/>
  <c r="J128" i="54"/>
  <c r="J135" i="54" s="1"/>
  <c r="I128" i="54"/>
  <c r="G128" i="54" s="1"/>
  <c r="H128" i="54" s="1"/>
  <c r="I121" i="54"/>
  <c r="G121" i="54" s="1"/>
  <c r="E121" i="54"/>
  <c r="G120" i="54"/>
  <c r="E120" i="54"/>
  <c r="J119" i="54"/>
  <c r="K119" i="54" s="1"/>
  <c r="H119" i="54"/>
  <c r="G119" i="54"/>
  <c r="J118" i="54"/>
  <c r="G118" i="54"/>
  <c r="H118" i="54" s="1"/>
  <c r="G117" i="54"/>
  <c r="I116" i="54"/>
  <c r="G116" i="54"/>
  <c r="E116" i="54"/>
  <c r="J108" i="54"/>
  <c r="G108" i="54"/>
  <c r="H108" i="54" s="1"/>
  <c r="K108" i="54" s="1"/>
  <c r="J107" i="54"/>
  <c r="H107" i="54"/>
  <c r="G107" i="54"/>
  <c r="J106" i="54"/>
  <c r="K106" i="54" s="1"/>
  <c r="G106" i="54"/>
  <c r="H106" i="54" s="1"/>
  <c r="J105" i="54"/>
  <c r="G105" i="54"/>
  <c r="H105" i="54" s="1"/>
  <c r="K104" i="54"/>
  <c r="J104" i="54"/>
  <c r="I104" i="54"/>
  <c r="G104" i="54" s="1"/>
  <c r="E104" i="54"/>
  <c r="H104" i="54" s="1"/>
  <c r="I103" i="54"/>
  <c r="G103" i="54" s="1"/>
  <c r="J102" i="54"/>
  <c r="K102" i="54" s="1"/>
  <c r="I102" i="54"/>
  <c r="G102" i="54" s="1"/>
  <c r="E102" i="54"/>
  <c r="H102" i="54" s="1"/>
  <c r="I101" i="54"/>
  <c r="G101" i="54"/>
  <c r="E101" i="54"/>
  <c r="I100" i="54"/>
  <c r="G100" i="54" s="1"/>
  <c r="E100" i="54"/>
  <c r="I99" i="54"/>
  <c r="G99" i="54" s="1"/>
  <c r="J98" i="54"/>
  <c r="K98" i="54" s="1"/>
  <c r="I98" i="54"/>
  <c r="H98" i="54"/>
  <c r="H109" i="54" s="1"/>
  <c r="G98" i="54"/>
  <c r="E98" i="54"/>
  <c r="K92" i="54"/>
  <c r="J92" i="54"/>
  <c r="H92" i="54"/>
  <c r="G92" i="54"/>
  <c r="J91" i="54"/>
  <c r="H91" i="54"/>
  <c r="G91" i="54"/>
  <c r="K90" i="54"/>
  <c r="J90" i="54"/>
  <c r="H90" i="54"/>
  <c r="G90" i="54"/>
  <c r="J89" i="54"/>
  <c r="K89" i="54" s="1"/>
  <c r="H89" i="54"/>
  <c r="G89" i="54"/>
  <c r="K88" i="54"/>
  <c r="J88" i="54"/>
  <c r="H88" i="54"/>
  <c r="G88" i="54"/>
  <c r="J87" i="54"/>
  <c r="H87" i="54"/>
  <c r="G87" i="54"/>
  <c r="K86" i="54"/>
  <c r="J86" i="54"/>
  <c r="H86" i="54"/>
  <c r="G86" i="54"/>
  <c r="J85" i="54"/>
  <c r="K85" i="54" s="1"/>
  <c r="H85" i="54"/>
  <c r="G85" i="54"/>
  <c r="K84" i="54"/>
  <c r="J84" i="54"/>
  <c r="H84" i="54"/>
  <c r="G84" i="54"/>
  <c r="I83" i="54"/>
  <c r="G83" i="54" s="1"/>
  <c r="H83" i="54" s="1"/>
  <c r="H93" i="54" s="1"/>
  <c r="H78" i="54"/>
  <c r="J77" i="54"/>
  <c r="J79" i="54" s="1"/>
  <c r="H77" i="54"/>
  <c r="K76" i="54"/>
  <c r="J76" i="54"/>
  <c r="H76" i="54"/>
  <c r="G76" i="54"/>
  <c r="J69" i="54"/>
  <c r="I69" i="54"/>
  <c r="G69" i="54" s="1"/>
  <c r="E69" i="54"/>
  <c r="I68" i="54"/>
  <c r="G68" i="54"/>
  <c r="E68" i="54"/>
  <c r="I61" i="54"/>
  <c r="G61" i="54" s="1"/>
  <c r="I60" i="54"/>
  <c r="G60" i="54"/>
  <c r="I53" i="54"/>
  <c r="H53" i="54"/>
  <c r="G53" i="54"/>
  <c r="E53" i="54"/>
  <c r="J53" i="54" s="1"/>
  <c r="J52" i="54"/>
  <c r="J54" i="54" s="1"/>
  <c r="I52" i="54"/>
  <c r="G52" i="54" s="1"/>
  <c r="E52" i="54"/>
  <c r="J46" i="54"/>
  <c r="K46" i="54" s="1"/>
  <c r="H46" i="54"/>
  <c r="G46" i="54"/>
  <c r="K45" i="54"/>
  <c r="J45" i="54"/>
  <c r="H45" i="54"/>
  <c r="G45" i="54"/>
  <c r="J44" i="54"/>
  <c r="H44" i="54"/>
  <c r="G44" i="54"/>
  <c r="K43" i="54"/>
  <c r="J43" i="54"/>
  <c r="H43" i="54"/>
  <c r="G43" i="54"/>
  <c r="J42" i="54"/>
  <c r="K42" i="54" s="1"/>
  <c r="H42" i="54"/>
  <c r="G42" i="54"/>
  <c r="E42" i="54"/>
  <c r="J41" i="54"/>
  <c r="K41" i="54" s="1"/>
  <c r="G41" i="54"/>
  <c r="H41" i="54" s="1"/>
  <c r="G40" i="54"/>
  <c r="J33" i="54"/>
  <c r="G33" i="54"/>
  <c r="H33" i="54" s="1"/>
  <c r="J32" i="54"/>
  <c r="G32" i="54"/>
  <c r="H32" i="54" s="1"/>
  <c r="K32" i="54" s="1"/>
  <c r="J31" i="54"/>
  <c r="K31" i="54" s="1"/>
  <c r="G31" i="54"/>
  <c r="H31" i="54" s="1"/>
  <c r="J30" i="54"/>
  <c r="H30" i="54"/>
  <c r="G30" i="54"/>
  <c r="G29" i="54"/>
  <c r="E29" i="54"/>
  <c r="J28" i="54"/>
  <c r="H28" i="54"/>
  <c r="K28" i="54" s="1"/>
  <c r="G28" i="54"/>
  <c r="H27" i="54"/>
  <c r="G27" i="54"/>
  <c r="C15" i="54" s="1"/>
  <c r="E27" i="54"/>
  <c r="J27" i="54" s="1"/>
  <c r="C20" i="54"/>
  <c r="I172" i="54" s="1"/>
  <c r="G172" i="54" s="1"/>
  <c r="C12" i="54"/>
  <c r="C13" i="54" s="1"/>
  <c r="C7" i="54"/>
  <c r="E156" i="54" s="1"/>
  <c r="G37" i="19"/>
  <c r="C35" i="19"/>
  <c r="H34" i="19"/>
  <c r="G34" i="19"/>
  <c r="G31" i="19" s="1"/>
  <c r="F34" i="19"/>
  <c r="F31" i="19" s="1"/>
  <c r="F37" i="19" s="1"/>
  <c r="E34" i="19"/>
  <c r="E31" i="19" s="1"/>
  <c r="D34" i="19"/>
  <c r="C33" i="19"/>
  <c r="C32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D31" i="19"/>
  <c r="AF26" i="19"/>
  <c r="AE26" i="19"/>
  <c r="AD26" i="19"/>
  <c r="AC26" i="19"/>
  <c r="AB26" i="19"/>
  <c r="AA26" i="19"/>
  <c r="Z26" i="19"/>
  <c r="X26" i="19"/>
  <c r="W26" i="19"/>
  <c r="V26" i="19"/>
  <c r="U26" i="19"/>
  <c r="T26" i="19"/>
  <c r="S26" i="19"/>
  <c r="R26" i="19"/>
  <c r="P26" i="19"/>
  <c r="O26" i="19"/>
  <c r="O23" i="19" s="1"/>
  <c r="N26" i="19"/>
  <c r="M26" i="19"/>
  <c r="L26" i="19"/>
  <c r="K26" i="19"/>
  <c r="J26" i="19"/>
  <c r="I26" i="19"/>
  <c r="Y26" i="19" s="1"/>
  <c r="AF25" i="19"/>
  <c r="AE25" i="19"/>
  <c r="AE23" i="19" s="1"/>
  <c r="AD25" i="19"/>
  <c r="AC25" i="19"/>
  <c r="AB25" i="19"/>
  <c r="AA25" i="19"/>
  <c r="Z25" i="19"/>
  <c r="X25" i="19"/>
  <c r="W25" i="19"/>
  <c r="V25" i="19"/>
  <c r="V23" i="19" s="1"/>
  <c r="U25" i="19"/>
  <c r="T25" i="19"/>
  <c r="S25" i="19"/>
  <c r="R25" i="19"/>
  <c r="P25" i="19"/>
  <c r="O25" i="19"/>
  <c r="N25" i="19"/>
  <c r="M25" i="19"/>
  <c r="M23" i="19" s="1"/>
  <c r="L25" i="19"/>
  <c r="K25" i="19"/>
  <c r="J25" i="19"/>
  <c r="I25" i="19"/>
  <c r="Y25" i="19" s="1"/>
  <c r="AF24" i="19"/>
  <c r="AF23" i="19" s="1"/>
  <c r="AE24" i="19"/>
  <c r="AD24" i="19"/>
  <c r="AC24" i="19"/>
  <c r="AC23" i="19" s="1"/>
  <c r="AB24" i="19"/>
  <c r="AB23" i="19" s="1"/>
  <c r="AA24" i="19"/>
  <c r="Z24" i="19"/>
  <c r="X24" i="19"/>
  <c r="W24" i="19"/>
  <c r="V24" i="19"/>
  <c r="U24" i="19"/>
  <c r="T24" i="19"/>
  <c r="T23" i="19" s="1"/>
  <c r="S24" i="19"/>
  <c r="S23" i="19" s="1"/>
  <c r="R24" i="19"/>
  <c r="P24" i="19"/>
  <c r="O24" i="19"/>
  <c r="N24" i="19"/>
  <c r="M24" i="19"/>
  <c r="L24" i="19"/>
  <c r="K24" i="19"/>
  <c r="K23" i="19" s="1"/>
  <c r="J24" i="19"/>
  <c r="J23" i="19" s="1"/>
  <c r="I24" i="19"/>
  <c r="Y24" i="19" s="1"/>
  <c r="Y23" i="19" s="1"/>
  <c r="AA23" i="19"/>
  <c r="Z23" i="19"/>
  <c r="X23" i="19"/>
  <c r="R23" i="19"/>
  <c r="P23" i="19"/>
  <c r="I23" i="19"/>
  <c r="H23" i="19"/>
  <c r="H37" i="19" s="1"/>
  <c r="H38" i="19" s="1"/>
  <c r="G23" i="19"/>
  <c r="F23" i="19"/>
  <c r="E23" i="19"/>
  <c r="D23" i="19"/>
  <c r="I21" i="19"/>
  <c r="C10" i="19"/>
  <c r="K4" i="19"/>
  <c r="K34" i="74"/>
  <c r="F31" i="74"/>
  <c r="E31" i="74"/>
  <c r="V30" i="74"/>
  <c r="X30" i="74" s="1"/>
  <c r="S30" i="74"/>
  <c r="J30" i="74"/>
  <c r="L30" i="74" s="1"/>
  <c r="U30" i="74" s="1"/>
  <c r="G30" i="74"/>
  <c r="O30" i="74" s="1"/>
  <c r="X29" i="74"/>
  <c r="W29" i="74"/>
  <c r="V29" i="74"/>
  <c r="L29" i="74"/>
  <c r="J29" i="74"/>
  <c r="G29" i="74"/>
  <c r="O29" i="74" s="1"/>
  <c r="V28" i="74"/>
  <c r="X28" i="74" s="1"/>
  <c r="O28" i="74"/>
  <c r="J28" i="74"/>
  <c r="L28" i="74" s="1"/>
  <c r="G28" i="74"/>
  <c r="V27" i="74"/>
  <c r="X27" i="74" s="1"/>
  <c r="J27" i="74"/>
  <c r="L27" i="74" s="1"/>
  <c r="G27" i="74"/>
  <c r="O27" i="74" s="1"/>
  <c r="X26" i="74"/>
  <c r="V26" i="74"/>
  <c r="O26" i="74"/>
  <c r="L26" i="74"/>
  <c r="J26" i="74"/>
  <c r="G26" i="74"/>
  <c r="X25" i="74"/>
  <c r="V25" i="74"/>
  <c r="S25" i="74"/>
  <c r="R25" i="74"/>
  <c r="O25" i="74"/>
  <c r="L25" i="74"/>
  <c r="N25" i="74" s="1"/>
  <c r="J25" i="74"/>
  <c r="G25" i="74"/>
  <c r="V24" i="74"/>
  <c r="X24" i="74" s="1"/>
  <c r="J24" i="74"/>
  <c r="G24" i="74"/>
  <c r="O24" i="74" s="1"/>
  <c r="J16" i="74"/>
  <c r="I16" i="74"/>
  <c r="L16" i="74" s="1"/>
  <c r="N16" i="74" s="1"/>
  <c r="J15" i="74"/>
  <c r="L15" i="74" s="1"/>
  <c r="I15" i="74"/>
  <c r="N9" i="74"/>
  <c r="L9" i="74"/>
  <c r="J9" i="74"/>
  <c r="F9" i="74"/>
  <c r="E9" i="74"/>
  <c r="G9" i="74" s="1"/>
  <c r="O9" i="74" s="1"/>
  <c r="J8" i="74"/>
  <c r="F8" i="74"/>
  <c r="E8" i="74"/>
  <c r="G8" i="74" s="1"/>
  <c r="W7" i="74"/>
  <c r="U7" i="74"/>
  <c r="R7" i="74"/>
  <c r="O7" i="74"/>
  <c r="L7" i="74"/>
  <c r="S7" i="74" s="1"/>
  <c r="F7" i="74"/>
  <c r="E7" i="74"/>
  <c r="D29" i="69"/>
  <c r="D28" i="69"/>
  <c r="D27" i="69"/>
  <c r="D26" i="69"/>
  <c r="D25" i="69"/>
  <c r="D24" i="69"/>
  <c r="D23" i="69"/>
  <c r="D22" i="69"/>
  <c r="D21" i="69"/>
  <c r="D20" i="69"/>
  <c r="D19" i="69"/>
  <c r="D18" i="69"/>
  <c r="D17" i="69"/>
  <c r="D16" i="69"/>
  <c r="D15" i="69"/>
  <c r="B15" i="68"/>
  <c r="E8" i="68"/>
  <c r="B8" i="68"/>
  <c r="F3" i="68"/>
  <c r="C4" i="65"/>
  <c r="C3" i="65"/>
  <c r="C2" i="65"/>
  <c r="W25" i="66"/>
  <c r="V25" i="66"/>
  <c r="O25" i="66"/>
  <c r="U25" i="66" s="1"/>
  <c r="K25" i="66"/>
  <c r="L25" i="66" s="1"/>
  <c r="M25" i="66" s="1"/>
  <c r="G6" i="66"/>
  <c r="F6" i="66"/>
  <c r="G5" i="66"/>
  <c r="H5" i="66" s="1"/>
  <c r="F5" i="66"/>
  <c r="F7" i="66" s="1"/>
  <c r="F14" i="66" s="1"/>
  <c r="G191" i="59"/>
  <c r="H183" i="59"/>
  <c r="I181" i="59"/>
  <c r="H181" i="59"/>
  <c r="G181" i="59"/>
  <c r="H179" i="59"/>
  <c r="G179" i="59"/>
  <c r="H177" i="59"/>
  <c r="I177" i="59" s="1"/>
  <c r="G177" i="59"/>
  <c r="G183" i="59" s="1"/>
  <c r="H173" i="59"/>
  <c r="I171" i="59"/>
  <c r="H171" i="59"/>
  <c r="G171" i="59"/>
  <c r="H169" i="59"/>
  <c r="G169" i="59"/>
  <c r="H167" i="59"/>
  <c r="I167" i="59" s="1"/>
  <c r="G167" i="59"/>
  <c r="G173" i="59" s="1"/>
  <c r="G186" i="59" s="1"/>
  <c r="P162" i="59"/>
  <c r="O162" i="59"/>
  <c r="O161" i="59"/>
  <c r="H132" i="59"/>
  <c r="J131" i="59"/>
  <c r="K131" i="59" s="1"/>
  <c r="G127" i="59"/>
  <c r="I124" i="59"/>
  <c r="G124" i="59" s="1"/>
  <c r="J121" i="59"/>
  <c r="K121" i="59" s="1"/>
  <c r="G121" i="59"/>
  <c r="H121" i="59" s="1"/>
  <c r="G120" i="59"/>
  <c r="I119" i="59"/>
  <c r="G119" i="59" s="1"/>
  <c r="J113" i="59"/>
  <c r="H113" i="59"/>
  <c r="J109" i="59"/>
  <c r="I109" i="59"/>
  <c r="G109" i="59"/>
  <c r="H109" i="59" s="1"/>
  <c r="P161" i="59" s="1"/>
  <c r="J108" i="59"/>
  <c r="J110" i="59" s="1"/>
  <c r="G108" i="59"/>
  <c r="H108" i="59" s="1"/>
  <c r="J99" i="59"/>
  <c r="I99" i="59"/>
  <c r="G99" i="59" s="1"/>
  <c r="H99" i="59" s="1"/>
  <c r="K99" i="59" s="1"/>
  <c r="I98" i="59"/>
  <c r="J98" i="59" s="1"/>
  <c r="G98" i="59"/>
  <c r="H98" i="59" s="1"/>
  <c r="J97" i="59"/>
  <c r="I97" i="59"/>
  <c r="H97" i="59"/>
  <c r="K97" i="59" s="1"/>
  <c r="G97" i="59"/>
  <c r="G96" i="59"/>
  <c r="G95" i="59"/>
  <c r="J92" i="59"/>
  <c r="G92" i="59"/>
  <c r="H92" i="59" s="1"/>
  <c r="J91" i="59"/>
  <c r="G91" i="59"/>
  <c r="H91" i="59" s="1"/>
  <c r="J90" i="59"/>
  <c r="K90" i="59" s="1"/>
  <c r="H90" i="59"/>
  <c r="G90" i="59"/>
  <c r="I89" i="59"/>
  <c r="G89" i="59" s="1"/>
  <c r="J88" i="59"/>
  <c r="G88" i="59"/>
  <c r="H88" i="59" s="1"/>
  <c r="I84" i="59"/>
  <c r="G84" i="59"/>
  <c r="G83" i="59"/>
  <c r="J82" i="59"/>
  <c r="H82" i="59"/>
  <c r="K82" i="59" s="1"/>
  <c r="G82" i="59"/>
  <c r="J81" i="59"/>
  <c r="H81" i="59"/>
  <c r="K81" i="59" s="1"/>
  <c r="G81" i="59"/>
  <c r="G80" i="59"/>
  <c r="I79" i="59"/>
  <c r="G79" i="59"/>
  <c r="I76" i="59"/>
  <c r="G76" i="59"/>
  <c r="I75" i="59"/>
  <c r="G75" i="59"/>
  <c r="I74" i="59"/>
  <c r="G74" i="59" s="1"/>
  <c r="I73" i="59"/>
  <c r="G73" i="59"/>
  <c r="I72" i="59"/>
  <c r="G72" i="59"/>
  <c r="I71" i="59"/>
  <c r="G71" i="59" s="1"/>
  <c r="I70" i="59"/>
  <c r="G70" i="59"/>
  <c r="J67" i="59"/>
  <c r="K67" i="59" s="1"/>
  <c r="I67" i="59"/>
  <c r="G67" i="59" s="1"/>
  <c r="H67" i="59"/>
  <c r="J66" i="59"/>
  <c r="K66" i="59" s="1"/>
  <c r="I66" i="59"/>
  <c r="G66" i="59" s="1"/>
  <c r="H66" i="59" s="1"/>
  <c r="J65" i="59"/>
  <c r="I65" i="59"/>
  <c r="G65" i="59"/>
  <c r="H65" i="59" s="1"/>
  <c r="K65" i="59" s="1"/>
  <c r="J64" i="59"/>
  <c r="I64" i="59"/>
  <c r="H64" i="59"/>
  <c r="K64" i="59" s="1"/>
  <c r="G64" i="59"/>
  <c r="I63" i="59"/>
  <c r="J63" i="59" s="1"/>
  <c r="I62" i="59"/>
  <c r="G62" i="59" s="1"/>
  <c r="H62" i="59" s="1"/>
  <c r="H68" i="59" s="1"/>
  <c r="J60" i="59"/>
  <c r="K60" i="59" s="1"/>
  <c r="H60" i="59"/>
  <c r="K59" i="59"/>
  <c r="J59" i="59"/>
  <c r="H59" i="59"/>
  <c r="G59" i="59"/>
  <c r="I56" i="59"/>
  <c r="G56" i="59" s="1"/>
  <c r="I55" i="59"/>
  <c r="G55" i="59" s="1"/>
  <c r="I52" i="59"/>
  <c r="G52" i="59" s="1"/>
  <c r="I51" i="59"/>
  <c r="G51" i="59"/>
  <c r="I48" i="59"/>
  <c r="G48" i="59"/>
  <c r="I47" i="59"/>
  <c r="G47" i="59" s="1"/>
  <c r="J41" i="59"/>
  <c r="H41" i="59"/>
  <c r="K41" i="59" s="1"/>
  <c r="G41" i="59"/>
  <c r="J40" i="59"/>
  <c r="G40" i="59"/>
  <c r="H40" i="59" s="1"/>
  <c r="J39" i="59"/>
  <c r="G39" i="59"/>
  <c r="H39" i="59" s="1"/>
  <c r="K39" i="59" s="1"/>
  <c r="J38" i="59"/>
  <c r="G38" i="59"/>
  <c r="H38" i="59" s="1"/>
  <c r="G37" i="59"/>
  <c r="J36" i="59"/>
  <c r="G36" i="59"/>
  <c r="H36" i="59" s="1"/>
  <c r="K36" i="59" s="1"/>
  <c r="G35" i="59"/>
  <c r="K32" i="59"/>
  <c r="J32" i="59"/>
  <c r="H32" i="59"/>
  <c r="G32" i="59"/>
  <c r="G31" i="59"/>
  <c r="K30" i="59"/>
  <c r="J30" i="59"/>
  <c r="G30" i="59"/>
  <c r="H30" i="59" s="1"/>
  <c r="J29" i="59"/>
  <c r="G29" i="59"/>
  <c r="H29" i="59" s="1"/>
  <c r="K29" i="59" s="1"/>
  <c r="G28" i="59"/>
  <c r="J27" i="59"/>
  <c r="G27" i="59"/>
  <c r="D15" i="59" s="1"/>
  <c r="G26" i="59"/>
  <c r="D20" i="59"/>
  <c r="I130" i="59" s="1"/>
  <c r="G130" i="59" s="1"/>
  <c r="M10" i="59"/>
  <c r="M9" i="59"/>
  <c r="M8" i="59"/>
  <c r="M7" i="59"/>
  <c r="I6" i="59"/>
  <c r="D6" i="59"/>
  <c r="D11" i="59" s="1"/>
  <c r="F127" i="59" s="1"/>
  <c r="D5" i="59"/>
  <c r="D10" i="59" s="1"/>
  <c r="M4" i="59"/>
  <c r="S25" i="66" l="1"/>
  <c r="G7" i="66"/>
  <c r="G14" i="66" s="1"/>
  <c r="H14" i="66" s="1"/>
  <c r="H6" i="66"/>
  <c r="K98" i="59"/>
  <c r="J56" i="54"/>
  <c r="J6" i="59"/>
  <c r="K88" i="59"/>
  <c r="F112" i="59"/>
  <c r="D12" i="59"/>
  <c r="R15" i="74"/>
  <c r="N15" i="74"/>
  <c r="J127" i="59"/>
  <c r="H127" i="59"/>
  <c r="H128" i="59" s="1"/>
  <c r="K91" i="59"/>
  <c r="J173" i="59"/>
  <c r="J186" i="59" s="1"/>
  <c r="S27" i="74"/>
  <c r="R27" i="74"/>
  <c r="N27" i="74"/>
  <c r="W27" i="74"/>
  <c r="D7" i="59"/>
  <c r="J62" i="59"/>
  <c r="K113" i="59"/>
  <c r="U27" i="74"/>
  <c r="L23" i="19"/>
  <c r="U23" i="19"/>
  <c r="AD23" i="19"/>
  <c r="J116" i="54"/>
  <c r="H116" i="54"/>
  <c r="H122" i="54" s="1"/>
  <c r="K141" i="54"/>
  <c r="K40" i="59"/>
  <c r="J68" i="54"/>
  <c r="H68" i="54"/>
  <c r="H70" i="54" s="1"/>
  <c r="K92" i="59"/>
  <c r="L169" i="59"/>
  <c r="T25" i="66"/>
  <c r="R25" i="66"/>
  <c r="W26" i="74"/>
  <c r="U26" i="74"/>
  <c r="S26" i="74"/>
  <c r="R26" i="74"/>
  <c r="U29" i="74"/>
  <c r="S29" i="74"/>
  <c r="R29" i="74"/>
  <c r="N29" i="74"/>
  <c r="G38" i="19"/>
  <c r="J52" i="55"/>
  <c r="H52" i="55"/>
  <c r="G63" i="59"/>
  <c r="H63" i="59" s="1"/>
  <c r="K63" i="59" s="1"/>
  <c r="K109" i="59"/>
  <c r="Q161" i="59"/>
  <c r="J169" i="59"/>
  <c r="I169" i="59"/>
  <c r="J183" i="59"/>
  <c r="P25" i="66"/>
  <c r="N26" i="74"/>
  <c r="N23" i="19"/>
  <c r="W23" i="19"/>
  <c r="K44" i="54"/>
  <c r="H69" i="54"/>
  <c r="K91" i="54"/>
  <c r="J101" i="54"/>
  <c r="H101" i="54"/>
  <c r="J137" i="54"/>
  <c r="K137" i="54" s="1"/>
  <c r="K135" i="54"/>
  <c r="J143" i="54"/>
  <c r="G143" i="54"/>
  <c r="H143" i="54" s="1"/>
  <c r="H61" i="56"/>
  <c r="J61" i="56"/>
  <c r="K61" i="56" s="1"/>
  <c r="N28" i="74"/>
  <c r="W28" i="74"/>
  <c r="U28" i="74"/>
  <c r="S28" i="74"/>
  <c r="H110" i="54"/>
  <c r="H111" i="54" s="1"/>
  <c r="H6" i="59"/>
  <c r="H110" i="59"/>
  <c r="K110" i="59" s="1"/>
  <c r="K171" i="59"/>
  <c r="L179" i="59"/>
  <c r="O8" i="74"/>
  <c r="L8" i="74"/>
  <c r="W9" i="74"/>
  <c r="U9" i="74"/>
  <c r="S9" i="74"/>
  <c r="R9" i="74"/>
  <c r="L24" i="74"/>
  <c r="K30" i="54"/>
  <c r="N192" i="54"/>
  <c r="K52" i="54"/>
  <c r="K69" i="54"/>
  <c r="K87" i="54"/>
  <c r="K107" i="54"/>
  <c r="H176" i="54"/>
  <c r="L171" i="59"/>
  <c r="J179" i="59"/>
  <c r="I179" i="59"/>
  <c r="R28" i="74"/>
  <c r="F38" i="19"/>
  <c r="H95" i="54"/>
  <c r="H94" i="54"/>
  <c r="H27" i="59"/>
  <c r="K27" i="59" s="1"/>
  <c r="K38" i="59"/>
  <c r="K108" i="59"/>
  <c r="L181" i="59"/>
  <c r="R30" i="74"/>
  <c r="N30" i="74"/>
  <c r="W30" i="74"/>
  <c r="K7" i="19"/>
  <c r="AF22" i="19"/>
  <c r="AF20" i="19" s="1"/>
  <c r="AF37" i="19" s="1"/>
  <c r="AF38" i="19" s="1"/>
  <c r="K5" i="19"/>
  <c r="J83" i="54"/>
  <c r="G153" i="54"/>
  <c r="H153" i="54" s="1"/>
  <c r="H158" i="54" s="1"/>
  <c r="J153" i="54"/>
  <c r="J158" i="54" s="1"/>
  <c r="U25" i="74"/>
  <c r="K33" i="54"/>
  <c r="H79" i="54"/>
  <c r="K118" i="54"/>
  <c r="J121" i="54"/>
  <c r="H137" i="54"/>
  <c r="J70" i="55"/>
  <c r="K68" i="55"/>
  <c r="J95" i="55"/>
  <c r="H186" i="59"/>
  <c r="N7" i="74"/>
  <c r="K53" i="54"/>
  <c r="K79" i="54"/>
  <c r="K105" i="54"/>
  <c r="J144" i="54"/>
  <c r="K144" i="54" s="1"/>
  <c r="K45" i="55"/>
  <c r="H103" i="55"/>
  <c r="J103" i="55"/>
  <c r="W25" i="74"/>
  <c r="D37" i="19"/>
  <c r="D38" i="19" s="1"/>
  <c r="K77" i="54"/>
  <c r="H100" i="54"/>
  <c r="H121" i="54"/>
  <c r="H71" i="55"/>
  <c r="H72" i="55"/>
  <c r="E37" i="19"/>
  <c r="E38" i="19" s="1"/>
  <c r="J29" i="54"/>
  <c r="H29" i="54"/>
  <c r="J164" i="54"/>
  <c r="H164" i="54"/>
  <c r="F219" i="54"/>
  <c r="K53" i="55"/>
  <c r="H158" i="55"/>
  <c r="I173" i="59"/>
  <c r="I183" i="59"/>
  <c r="C31" i="19"/>
  <c r="J156" i="54"/>
  <c r="K156" i="54" s="1"/>
  <c r="K27" i="54"/>
  <c r="J100" i="54"/>
  <c r="J109" i="54"/>
  <c r="K152" i="54"/>
  <c r="H155" i="54"/>
  <c r="J101" i="55"/>
  <c r="K101" i="55" s="1"/>
  <c r="H101" i="55"/>
  <c r="H52" i="54"/>
  <c r="J120" i="54"/>
  <c r="K120" i="54" s="1"/>
  <c r="H120" i="54"/>
  <c r="K129" i="54"/>
  <c r="K165" i="54"/>
  <c r="O193" i="55"/>
  <c r="G6" i="55"/>
  <c r="J167" i="55"/>
  <c r="N190" i="55"/>
  <c r="H78" i="56"/>
  <c r="H79" i="56" s="1"/>
  <c r="K33" i="55"/>
  <c r="K43" i="55"/>
  <c r="H93" i="55"/>
  <c r="K92" i="55"/>
  <c r="K41" i="55"/>
  <c r="H79" i="55"/>
  <c r="K79" i="55" s="1"/>
  <c r="K90" i="55"/>
  <c r="K118" i="55"/>
  <c r="H165" i="55"/>
  <c r="K165" i="55" s="1"/>
  <c r="H176" i="55"/>
  <c r="H175" i="55"/>
  <c r="E61" i="54"/>
  <c r="E142" i="54"/>
  <c r="J155" i="54"/>
  <c r="G84" i="55"/>
  <c r="H84" i="55" s="1"/>
  <c r="K86" i="55"/>
  <c r="J104" i="55"/>
  <c r="H104" i="55"/>
  <c r="K132" i="55"/>
  <c r="J153" i="55"/>
  <c r="K84" i="56"/>
  <c r="H93" i="56"/>
  <c r="J104" i="56"/>
  <c r="H104" i="56"/>
  <c r="E99" i="54"/>
  <c r="E103" i="54"/>
  <c r="E154" i="54"/>
  <c r="C15" i="55"/>
  <c r="J29" i="55"/>
  <c r="K84" i="55"/>
  <c r="K107" i="55"/>
  <c r="Q24" i="19"/>
  <c r="Q25" i="19"/>
  <c r="Q26" i="19"/>
  <c r="E172" i="54"/>
  <c r="J172" i="54" s="1"/>
  <c r="F221" i="54"/>
  <c r="E40" i="54"/>
  <c r="E60" i="54"/>
  <c r="E117" i="54"/>
  <c r="E130" i="54"/>
  <c r="J172" i="55"/>
  <c r="H27" i="55"/>
  <c r="H100" i="55"/>
  <c r="K100" i="55" s="1"/>
  <c r="J128" i="55"/>
  <c r="G128" i="55"/>
  <c r="H128" i="55" s="1"/>
  <c r="H135" i="55" s="1"/>
  <c r="K155" i="55"/>
  <c r="J79" i="56"/>
  <c r="K77" i="56"/>
  <c r="J120" i="56"/>
  <c r="K120" i="56" s="1"/>
  <c r="H120" i="56"/>
  <c r="K43" i="56"/>
  <c r="H6" i="55"/>
  <c r="I6" i="55" s="1"/>
  <c r="E61" i="55"/>
  <c r="E142" i="55"/>
  <c r="G164" i="55"/>
  <c r="H164" i="55" s="1"/>
  <c r="K164" i="55" s="1"/>
  <c r="K32" i="56"/>
  <c r="K88" i="56"/>
  <c r="K129" i="56"/>
  <c r="F219" i="56"/>
  <c r="H164" i="56"/>
  <c r="J121" i="56"/>
  <c r="K121" i="56" s="1"/>
  <c r="J154" i="56"/>
  <c r="P193" i="56"/>
  <c r="F221" i="55"/>
  <c r="E154" i="55"/>
  <c r="E121" i="55"/>
  <c r="E116" i="55"/>
  <c r="E40" i="55"/>
  <c r="E60" i="55"/>
  <c r="I6" i="56"/>
  <c r="K30" i="56"/>
  <c r="J52" i="56"/>
  <c r="H52" i="56"/>
  <c r="K92" i="56"/>
  <c r="H116" i="56"/>
  <c r="H122" i="56" s="1"/>
  <c r="K133" i="56"/>
  <c r="G143" i="56"/>
  <c r="H143" i="56" s="1"/>
  <c r="J143" i="56"/>
  <c r="H158" i="56"/>
  <c r="O189" i="56"/>
  <c r="J164" i="56"/>
  <c r="E42" i="55"/>
  <c r="E69" i="55"/>
  <c r="E98" i="55"/>
  <c r="E102" i="55"/>
  <c r="J117" i="55"/>
  <c r="K117" i="55" s="1"/>
  <c r="E141" i="55"/>
  <c r="E156" i="55"/>
  <c r="K101" i="56"/>
  <c r="J93" i="56"/>
  <c r="J100" i="56"/>
  <c r="K100" i="56" s="1"/>
  <c r="H100" i="56"/>
  <c r="J144" i="56"/>
  <c r="K144" i="56" s="1"/>
  <c r="G144" i="56"/>
  <c r="H144" i="56" s="1"/>
  <c r="J156" i="56"/>
  <c r="K156" i="56" s="1"/>
  <c r="H156" i="56"/>
  <c r="J172" i="56"/>
  <c r="E120" i="55"/>
  <c r="E130" i="55"/>
  <c r="J122" i="56"/>
  <c r="K116" i="56"/>
  <c r="H175" i="56"/>
  <c r="H176" i="56" s="1"/>
  <c r="E29" i="56"/>
  <c r="K83" i="56"/>
  <c r="J85" i="56"/>
  <c r="K85" i="56" s="1"/>
  <c r="K152" i="56"/>
  <c r="E99" i="56"/>
  <c r="E103" i="56"/>
  <c r="E155" i="56"/>
  <c r="E40" i="56"/>
  <c r="E60" i="56"/>
  <c r="E117" i="56"/>
  <c r="E130" i="56"/>
  <c r="H142" i="56"/>
  <c r="K142" i="56" s="1"/>
  <c r="C15" i="56"/>
  <c r="E42" i="56"/>
  <c r="E69" i="56"/>
  <c r="K76" i="56"/>
  <c r="E98" i="56"/>
  <c r="E102" i="56"/>
  <c r="I128" i="56"/>
  <c r="E141" i="56"/>
  <c r="E27" i="56"/>
  <c r="E53" i="56"/>
  <c r="E68" i="56"/>
  <c r="H7" i="66" l="1"/>
  <c r="J160" i="54"/>
  <c r="K158" i="54"/>
  <c r="H159" i="54"/>
  <c r="H160" i="54" s="1"/>
  <c r="F203" i="54" s="1"/>
  <c r="K203" i="54" s="1"/>
  <c r="H112" i="59"/>
  <c r="J112" i="59"/>
  <c r="G187" i="59"/>
  <c r="J68" i="56"/>
  <c r="H68" i="56"/>
  <c r="H70" i="56" s="1"/>
  <c r="H69" i="56"/>
  <c r="J69" i="56"/>
  <c r="K69" i="56" s="1"/>
  <c r="J155" i="56"/>
  <c r="K155" i="56" s="1"/>
  <c r="H155" i="56"/>
  <c r="J156" i="55"/>
  <c r="H156" i="55"/>
  <c r="H6" i="54"/>
  <c r="J68" i="59"/>
  <c r="K68" i="59" s="1"/>
  <c r="K62" i="59"/>
  <c r="H42" i="56"/>
  <c r="J42" i="56"/>
  <c r="H159" i="56"/>
  <c r="H160" i="56" s="1"/>
  <c r="K158" i="56"/>
  <c r="N193" i="55"/>
  <c r="P193" i="55" s="1"/>
  <c r="K153" i="55"/>
  <c r="K155" i="54"/>
  <c r="K101" i="54"/>
  <c r="H54" i="55"/>
  <c r="O192" i="55"/>
  <c r="O191" i="55" s="1"/>
  <c r="H71" i="54"/>
  <c r="H72" i="54" s="1"/>
  <c r="H124" i="54"/>
  <c r="F211" i="54" s="1"/>
  <c r="K211" i="54" s="1"/>
  <c r="H123" i="54"/>
  <c r="L177" i="59"/>
  <c r="L167" i="59"/>
  <c r="K177" i="59"/>
  <c r="K167" i="59"/>
  <c r="I87" i="59"/>
  <c r="F83" i="59"/>
  <c r="F74" i="59"/>
  <c r="F70" i="59"/>
  <c r="F52" i="59"/>
  <c r="F37" i="59"/>
  <c r="F119" i="59"/>
  <c r="G189" i="59"/>
  <c r="J153" i="59"/>
  <c r="F75" i="59"/>
  <c r="F72" i="59"/>
  <c r="H153" i="59"/>
  <c r="F95" i="59"/>
  <c r="F73" i="59"/>
  <c r="K183" i="59"/>
  <c r="F79" i="59"/>
  <c r="L183" i="59"/>
  <c r="F130" i="59"/>
  <c r="J130" i="59" s="1"/>
  <c r="F51" i="59"/>
  <c r="F48" i="59"/>
  <c r="F89" i="59"/>
  <c r="F84" i="59"/>
  <c r="F76" i="59"/>
  <c r="F120" i="59"/>
  <c r="F96" i="59"/>
  <c r="F80" i="59"/>
  <c r="F71" i="59"/>
  <c r="F55" i="59"/>
  <c r="F56" i="59"/>
  <c r="F47" i="59"/>
  <c r="F35" i="59"/>
  <c r="K173" i="59"/>
  <c r="F124" i="59"/>
  <c r="F28" i="59"/>
  <c r="F26" i="59"/>
  <c r="N192" i="56"/>
  <c r="J54" i="56"/>
  <c r="K52" i="56"/>
  <c r="J154" i="55"/>
  <c r="H154" i="55"/>
  <c r="J135" i="55"/>
  <c r="K128" i="55"/>
  <c r="C37" i="19"/>
  <c r="C17" i="19"/>
  <c r="D17" i="19" s="1"/>
  <c r="E17" i="19" s="1"/>
  <c r="F17" i="19" s="1"/>
  <c r="G17" i="19" s="1"/>
  <c r="H17" i="19" s="1"/>
  <c r="J53" i="56"/>
  <c r="H53" i="56"/>
  <c r="K83" i="54"/>
  <c r="J93" i="54"/>
  <c r="J27" i="56"/>
  <c r="H27" i="56"/>
  <c r="J99" i="56"/>
  <c r="K99" i="56" s="1"/>
  <c r="H99" i="56"/>
  <c r="J124" i="56"/>
  <c r="K122" i="56"/>
  <c r="K143" i="56"/>
  <c r="H34" i="55"/>
  <c r="K27" i="55"/>
  <c r="H154" i="54"/>
  <c r="O189" i="54" s="1"/>
  <c r="J154" i="54"/>
  <c r="H142" i="54"/>
  <c r="H146" i="54" s="1"/>
  <c r="J142" i="54"/>
  <c r="K29" i="54"/>
  <c r="J34" i="54"/>
  <c r="H5" i="54"/>
  <c r="K121" i="54"/>
  <c r="K179" i="59"/>
  <c r="N192" i="55"/>
  <c r="J54" i="55"/>
  <c r="K52" i="55"/>
  <c r="J70" i="54"/>
  <c r="K68" i="54"/>
  <c r="K116" i="54"/>
  <c r="J122" i="54"/>
  <c r="J40" i="54"/>
  <c r="H40" i="54"/>
  <c r="H94" i="56"/>
  <c r="H95" i="56" s="1"/>
  <c r="N193" i="54"/>
  <c r="N191" i="54" s="1"/>
  <c r="K153" i="54"/>
  <c r="K70" i="55"/>
  <c r="J72" i="55"/>
  <c r="K72" i="55" s="1"/>
  <c r="J141" i="55"/>
  <c r="H141" i="55"/>
  <c r="H146" i="55" s="1"/>
  <c r="J174" i="54"/>
  <c r="K172" i="54"/>
  <c r="H141" i="56"/>
  <c r="H146" i="56" s="1"/>
  <c r="J141" i="56"/>
  <c r="H130" i="55"/>
  <c r="O188" i="55" s="1"/>
  <c r="J130" i="55"/>
  <c r="H102" i="55"/>
  <c r="J102" i="55"/>
  <c r="K102" i="55" s="1"/>
  <c r="J103" i="54"/>
  <c r="K103" i="54" s="1"/>
  <c r="H103" i="54"/>
  <c r="J169" i="55"/>
  <c r="J111" i="54"/>
  <c r="K111" i="54" s="1"/>
  <c r="K109" i="54"/>
  <c r="H159" i="55"/>
  <c r="H160" i="55" s="1"/>
  <c r="F203" i="55" s="1"/>
  <c r="K203" i="55" s="1"/>
  <c r="N8" i="74"/>
  <c r="W8" i="74"/>
  <c r="U8" i="74"/>
  <c r="S8" i="74"/>
  <c r="R8" i="74"/>
  <c r="J128" i="59"/>
  <c r="K128" i="59" s="1"/>
  <c r="K127" i="59"/>
  <c r="G128" i="56"/>
  <c r="H128" i="56" s="1"/>
  <c r="H135" i="56" s="1"/>
  <c r="J128" i="56"/>
  <c r="J130" i="56"/>
  <c r="H130" i="56"/>
  <c r="O188" i="56" s="1"/>
  <c r="H120" i="55"/>
  <c r="J120" i="55"/>
  <c r="K120" i="55" s="1"/>
  <c r="H98" i="55"/>
  <c r="H109" i="55" s="1"/>
  <c r="J98" i="55"/>
  <c r="H60" i="55"/>
  <c r="H62" i="55" s="1"/>
  <c r="J60" i="55"/>
  <c r="O190" i="55"/>
  <c r="P190" i="55" s="1"/>
  <c r="H167" i="55"/>
  <c r="K167" i="55" s="1"/>
  <c r="J130" i="54"/>
  <c r="H130" i="54"/>
  <c r="O188" i="54" s="1"/>
  <c r="Q23" i="19"/>
  <c r="J99" i="54"/>
  <c r="H99" i="54"/>
  <c r="K104" i="55"/>
  <c r="H95" i="55"/>
  <c r="H94" i="55"/>
  <c r="O192" i="54"/>
  <c r="P192" i="54" s="1"/>
  <c r="H54" i="54"/>
  <c r="K100" i="54"/>
  <c r="K103" i="55"/>
  <c r="J177" i="59"/>
  <c r="J167" i="59"/>
  <c r="I186" i="59"/>
  <c r="J171" i="59"/>
  <c r="J181" i="59"/>
  <c r="AD22" i="19"/>
  <c r="AD20" i="19" s="1"/>
  <c r="AD37" i="19" s="1"/>
  <c r="AD38" i="19" s="1"/>
  <c r="V22" i="19"/>
  <c r="V20" i="19" s="1"/>
  <c r="V37" i="19" s="1"/>
  <c r="V38" i="19" s="1"/>
  <c r="N22" i="19"/>
  <c r="N20" i="19" s="1"/>
  <c r="N37" i="19" s="1"/>
  <c r="N38" i="19" s="1"/>
  <c r="AA22" i="19"/>
  <c r="AA20" i="19" s="1"/>
  <c r="AA37" i="19" s="1"/>
  <c r="AA38" i="19" s="1"/>
  <c r="R22" i="19"/>
  <c r="R20" i="19" s="1"/>
  <c r="R37" i="19" s="1"/>
  <c r="R38" i="19" s="1"/>
  <c r="I22" i="19"/>
  <c r="I20" i="19" s="1"/>
  <c r="I37" i="19" s="1"/>
  <c r="I38" i="19" s="1"/>
  <c r="Z22" i="19"/>
  <c r="Z20" i="19" s="1"/>
  <c r="Z37" i="19" s="1"/>
  <c r="Z38" i="19" s="1"/>
  <c r="Q22" i="19"/>
  <c r="Q20" i="19" s="1"/>
  <c r="Y22" i="19"/>
  <c r="Y20" i="19" s="1"/>
  <c r="Y37" i="19" s="1"/>
  <c r="Y38" i="19" s="1"/>
  <c r="P22" i="19"/>
  <c r="P20" i="19" s="1"/>
  <c r="P37" i="19" s="1"/>
  <c r="P38" i="19" s="1"/>
  <c r="X22" i="19"/>
  <c r="X20" i="19" s="1"/>
  <c r="X37" i="19" s="1"/>
  <c r="X38" i="19" s="1"/>
  <c r="O22" i="19"/>
  <c r="O20" i="19" s="1"/>
  <c r="O37" i="19" s="1"/>
  <c r="O38" i="19" s="1"/>
  <c r="W22" i="19"/>
  <c r="W20" i="19" s="1"/>
  <c r="W37" i="19" s="1"/>
  <c r="W38" i="19" s="1"/>
  <c r="M22" i="19"/>
  <c r="M20" i="19" s="1"/>
  <c r="M37" i="19" s="1"/>
  <c r="M38" i="19" s="1"/>
  <c r="AE22" i="19"/>
  <c r="AE20" i="19" s="1"/>
  <c r="AE37" i="19" s="1"/>
  <c r="AE38" i="19" s="1"/>
  <c r="U22" i="19"/>
  <c r="U20" i="19" s="1"/>
  <c r="U37" i="19" s="1"/>
  <c r="U38" i="19" s="1"/>
  <c r="L22" i="19"/>
  <c r="L20" i="19" s="1"/>
  <c r="L37" i="19" s="1"/>
  <c r="L38" i="19" s="1"/>
  <c r="S22" i="19"/>
  <c r="S20" i="19" s="1"/>
  <c r="S37" i="19" s="1"/>
  <c r="S38" i="19" s="1"/>
  <c r="K22" i="19"/>
  <c r="K20" i="19" s="1"/>
  <c r="K37" i="19" s="1"/>
  <c r="K38" i="19" s="1"/>
  <c r="J22" i="19"/>
  <c r="J20" i="19" s="1"/>
  <c r="J37" i="19" s="1"/>
  <c r="J38" i="19" s="1"/>
  <c r="AC22" i="19"/>
  <c r="AC20" i="19" s="1"/>
  <c r="AC37" i="19" s="1"/>
  <c r="AC38" i="19" s="1"/>
  <c r="T22" i="19"/>
  <c r="T20" i="19" s="1"/>
  <c r="T37" i="19" s="1"/>
  <c r="T38" i="19" s="1"/>
  <c r="AB22" i="19"/>
  <c r="AB20" i="19" s="1"/>
  <c r="AB37" i="19" s="1"/>
  <c r="AB38" i="19" s="1"/>
  <c r="H34" i="54"/>
  <c r="K169" i="59"/>
  <c r="J40" i="56"/>
  <c r="H40" i="56"/>
  <c r="N190" i="56"/>
  <c r="P190" i="56" s="1"/>
  <c r="J167" i="56"/>
  <c r="K164" i="56"/>
  <c r="H54" i="56"/>
  <c r="O192" i="56"/>
  <c r="O191" i="56" s="1"/>
  <c r="J121" i="55"/>
  <c r="K121" i="55" s="1"/>
  <c r="H121" i="55"/>
  <c r="O190" i="56"/>
  <c r="H167" i="56"/>
  <c r="H137" i="55"/>
  <c r="H136" i="55"/>
  <c r="N190" i="54"/>
  <c r="K164" i="54"/>
  <c r="J167" i="54"/>
  <c r="H102" i="56"/>
  <c r="J102" i="56"/>
  <c r="J117" i="56"/>
  <c r="H117" i="56"/>
  <c r="J174" i="56"/>
  <c r="K172" i="56"/>
  <c r="J69" i="55"/>
  <c r="H69" i="55"/>
  <c r="H123" i="56"/>
  <c r="H124" i="56" s="1"/>
  <c r="H40" i="55"/>
  <c r="J40" i="55"/>
  <c r="J158" i="55"/>
  <c r="J142" i="55"/>
  <c r="K142" i="55" s="1"/>
  <c r="H142" i="55"/>
  <c r="K79" i="56"/>
  <c r="J117" i="54"/>
  <c r="K117" i="54" s="1"/>
  <c r="H117" i="54"/>
  <c r="K93" i="55"/>
  <c r="K143" i="54"/>
  <c r="G213" i="54"/>
  <c r="K29" i="55"/>
  <c r="H5" i="55"/>
  <c r="J34" i="55"/>
  <c r="O193" i="54"/>
  <c r="G6" i="54"/>
  <c r="J103" i="56"/>
  <c r="K103" i="56" s="1"/>
  <c r="H103" i="56"/>
  <c r="K154" i="56"/>
  <c r="N189" i="56"/>
  <c r="P189" i="56" s="1"/>
  <c r="K172" i="55"/>
  <c r="J174" i="55"/>
  <c r="H61" i="54"/>
  <c r="J61" i="54"/>
  <c r="K61" i="54" s="1"/>
  <c r="H98" i="56"/>
  <c r="H109" i="56" s="1"/>
  <c r="J98" i="56"/>
  <c r="J60" i="56"/>
  <c r="H60" i="56"/>
  <c r="H62" i="56" s="1"/>
  <c r="J29" i="56"/>
  <c r="K29" i="56" s="1"/>
  <c r="H29" i="56"/>
  <c r="J95" i="56"/>
  <c r="K93" i="56"/>
  <c r="J42" i="55"/>
  <c r="K42" i="55" s="1"/>
  <c r="H42" i="55"/>
  <c r="J116" i="55"/>
  <c r="H116" i="55"/>
  <c r="H122" i="55" s="1"/>
  <c r="J61" i="55"/>
  <c r="K61" i="55" s="1"/>
  <c r="H61" i="55"/>
  <c r="J60" i="54"/>
  <c r="H60" i="54"/>
  <c r="H62" i="54" s="1"/>
  <c r="K104" i="56"/>
  <c r="N187" i="54"/>
  <c r="O190" i="54"/>
  <c r="H167" i="54"/>
  <c r="K95" i="55"/>
  <c r="U24" i="74"/>
  <c r="S24" i="74"/>
  <c r="R24" i="74"/>
  <c r="N24" i="74"/>
  <c r="W24" i="74"/>
  <c r="L173" i="59"/>
  <c r="L186" i="59" s="1"/>
  <c r="K181" i="59"/>
  <c r="D13" i="59"/>
  <c r="F203" i="56" l="1"/>
  <c r="K203" i="56" s="1"/>
  <c r="K160" i="56"/>
  <c r="J47" i="55"/>
  <c r="K40" i="55"/>
  <c r="N187" i="55"/>
  <c r="J169" i="56"/>
  <c r="K167" i="56"/>
  <c r="K60" i="55"/>
  <c r="J62" i="55"/>
  <c r="K142" i="54"/>
  <c r="J146" i="54"/>
  <c r="J35" i="59"/>
  <c r="H35" i="59"/>
  <c r="H42" i="59" s="1"/>
  <c r="H64" i="54"/>
  <c r="H63" i="54"/>
  <c r="H47" i="55"/>
  <c r="K117" i="56"/>
  <c r="H168" i="56"/>
  <c r="H169" i="56"/>
  <c r="F201" i="56" s="1"/>
  <c r="K201" i="56" s="1"/>
  <c r="K102" i="56"/>
  <c r="H47" i="56"/>
  <c r="K99" i="54"/>
  <c r="K98" i="55"/>
  <c r="J109" i="55"/>
  <c r="J146" i="55"/>
  <c r="K141" i="55"/>
  <c r="J47" i="54"/>
  <c r="K40" i="54"/>
  <c r="N191" i="55"/>
  <c r="P191" i="55" s="1"/>
  <c r="P192" i="55"/>
  <c r="K154" i="54"/>
  <c r="N189" i="54"/>
  <c r="P189" i="54" s="1"/>
  <c r="K124" i="56"/>
  <c r="K53" i="56"/>
  <c r="K54" i="56"/>
  <c r="J56" i="56"/>
  <c r="J56" i="59"/>
  <c r="K56" i="59" s="1"/>
  <c r="H56" i="59"/>
  <c r="J89" i="59"/>
  <c r="H89" i="59"/>
  <c r="P156" i="59" s="1"/>
  <c r="H95" i="59"/>
  <c r="H100" i="59" s="1"/>
  <c r="J95" i="59"/>
  <c r="J52" i="59"/>
  <c r="H52" i="59"/>
  <c r="P158" i="59"/>
  <c r="H114" i="59"/>
  <c r="H115" i="59" s="1"/>
  <c r="K167" i="54"/>
  <c r="J169" i="54"/>
  <c r="H55" i="54"/>
  <c r="H56" i="54" s="1"/>
  <c r="K54" i="54"/>
  <c r="H110" i="56"/>
  <c r="H111" i="56" s="1"/>
  <c r="J135" i="56"/>
  <c r="K128" i="56"/>
  <c r="K174" i="54"/>
  <c r="J176" i="54"/>
  <c r="K176" i="54" s="1"/>
  <c r="N189" i="55"/>
  <c r="K154" i="55"/>
  <c r="J76" i="59"/>
  <c r="H76" i="59"/>
  <c r="J119" i="59"/>
  <c r="H119" i="59"/>
  <c r="H56" i="55"/>
  <c r="F213" i="55" s="1"/>
  <c r="K213" i="55" s="1"/>
  <c r="H55" i="55"/>
  <c r="H64" i="55"/>
  <c r="H63" i="55"/>
  <c r="H136" i="56"/>
  <c r="H137" i="56" s="1"/>
  <c r="F211" i="56" s="1"/>
  <c r="K211" i="56" s="1"/>
  <c r="H147" i="55"/>
  <c r="H148" i="55" s="1"/>
  <c r="H47" i="54"/>
  <c r="G5" i="54"/>
  <c r="G7" i="54" s="1"/>
  <c r="G13" i="54" s="1"/>
  <c r="J56" i="55"/>
  <c r="K54" i="55"/>
  <c r="H147" i="54"/>
  <c r="H148" i="54" s="1"/>
  <c r="J47" i="59"/>
  <c r="H47" i="59"/>
  <c r="J84" i="59"/>
  <c r="H84" i="59"/>
  <c r="H73" i="59"/>
  <c r="J73" i="59"/>
  <c r="J37" i="59"/>
  <c r="H37" i="59"/>
  <c r="K156" i="55"/>
  <c r="O158" i="59"/>
  <c r="K112" i="59"/>
  <c r="J114" i="59"/>
  <c r="J62" i="54"/>
  <c r="K60" i="54"/>
  <c r="K95" i="56"/>
  <c r="J176" i="55"/>
  <c r="K176" i="55" s="1"/>
  <c r="K174" i="55"/>
  <c r="J36" i="55"/>
  <c r="K34" i="55"/>
  <c r="J47" i="56"/>
  <c r="K40" i="56"/>
  <c r="H110" i="55"/>
  <c r="H111" i="55" s="1"/>
  <c r="K130" i="55"/>
  <c r="N188" i="55"/>
  <c r="P188" i="55" s="1"/>
  <c r="I17" i="19"/>
  <c r="N191" i="56"/>
  <c r="P191" i="56" s="1"/>
  <c r="P192" i="56"/>
  <c r="J55" i="59"/>
  <c r="H55" i="59"/>
  <c r="H57" i="59" s="1"/>
  <c r="H48" i="59"/>
  <c r="J48" i="59"/>
  <c r="K48" i="59" s="1"/>
  <c r="H70" i="59"/>
  <c r="H77" i="59" s="1"/>
  <c r="J70" i="59"/>
  <c r="K42" i="56"/>
  <c r="O187" i="54"/>
  <c r="O186" i="54" s="1"/>
  <c r="H7" i="55"/>
  <c r="K122" i="54"/>
  <c r="J124" i="54"/>
  <c r="C38" i="19"/>
  <c r="C8" i="19"/>
  <c r="C7" i="19"/>
  <c r="C6" i="19"/>
  <c r="C5" i="19"/>
  <c r="J26" i="59"/>
  <c r="H26" i="59"/>
  <c r="H71" i="59"/>
  <c r="J71" i="59"/>
  <c r="H51" i="59"/>
  <c r="H53" i="59" s="1"/>
  <c r="J51" i="59"/>
  <c r="J72" i="59"/>
  <c r="H72" i="59"/>
  <c r="J74" i="59"/>
  <c r="H74" i="59"/>
  <c r="H168" i="54"/>
  <c r="H169" i="54" s="1"/>
  <c r="F201" i="54" s="1"/>
  <c r="K201" i="54" s="1"/>
  <c r="H123" i="55"/>
  <c r="H124" i="55" s="1"/>
  <c r="F211" i="55" s="1"/>
  <c r="K211" i="55" s="1"/>
  <c r="H63" i="56"/>
  <c r="H64" i="56" s="1"/>
  <c r="F209" i="56" s="1"/>
  <c r="K69" i="55"/>
  <c r="H36" i="54"/>
  <c r="H35" i="54"/>
  <c r="Q37" i="19"/>
  <c r="Q38" i="19" s="1"/>
  <c r="O191" i="54"/>
  <c r="N188" i="54"/>
  <c r="P188" i="54" s="1"/>
  <c r="K130" i="54"/>
  <c r="J146" i="56"/>
  <c r="K141" i="56"/>
  <c r="I5" i="54"/>
  <c r="H7" i="54"/>
  <c r="O187" i="55"/>
  <c r="H34" i="56"/>
  <c r="O187" i="56"/>
  <c r="O186" i="56" s="1"/>
  <c r="G5" i="56"/>
  <c r="G7" i="56" s="1"/>
  <c r="G13" i="56" s="1"/>
  <c r="H28" i="59"/>
  <c r="F31" i="59"/>
  <c r="J28" i="59"/>
  <c r="K28" i="59" s="1"/>
  <c r="H80" i="59"/>
  <c r="J80" i="59"/>
  <c r="K80" i="59" s="1"/>
  <c r="J132" i="59"/>
  <c r="K130" i="59"/>
  <c r="H75" i="59"/>
  <c r="J75" i="59"/>
  <c r="H83" i="59"/>
  <c r="J83" i="59"/>
  <c r="K83" i="59" s="1"/>
  <c r="K116" i="55"/>
  <c r="J122" i="55"/>
  <c r="J62" i="56"/>
  <c r="K60" i="56"/>
  <c r="P190" i="54"/>
  <c r="H55" i="56"/>
  <c r="H56" i="56"/>
  <c r="F213" i="56" s="1"/>
  <c r="K213" i="56" s="1"/>
  <c r="H168" i="55"/>
  <c r="H169" i="55" s="1"/>
  <c r="G201" i="55"/>
  <c r="H147" i="56"/>
  <c r="H148" i="56" s="1"/>
  <c r="P193" i="54"/>
  <c r="J36" i="54"/>
  <c r="K34" i="54"/>
  <c r="H35" i="55"/>
  <c r="H36" i="55" s="1"/>
  <c r="H5" i="56"/>
  <c r="N187" i="56"/>
  <c r="K27" i="56"/>
  <c r="J34" i="56"/>
  <c r="J137" i="55"/>
  <c r="K137" i="55" s="1"/>
  <c r="K135" i="55"/>
  <c r="H124" i="59"/>
  <c r="H125" i="59" s="1"/>
  <c r="J124" i="59"/>
  <c r="J96" i="59"/>
  <c r="H96" i="59"/>
  <c r="K153" i="59"/>
  <c r="J87" i="59"/>
  <c r="G87" i="59"/>
  <c r="H87" i="59" s="1"/>
  <c r="H72" i="56"/>
  <c r="H71" i="56"/>
  <c r="P187" i="54"/>
  <c r="J109" i="56"/>
  <c r="K98" i="56"/>
  <c r="J213" i="54"/>
  <c r="K158" i="55"/>
  <c r="J160" i="55"/>
  <c r="J176" i="56"/>
  <c r="K174" i="56"/>
  <c r="K130" i="56"/>
  <c r="N188" i="56"/>
  <c r="P188" i="56" s="1"/>
  <c r="J72" i="54"/>
  <c r="K72" i="54" s="1"/>
  <c r="K70" i="54"/>
  <c r="G5" i="55"/>
  <c r="G7" i="55" s="1"/>
  <c r="G13" i="55" s="1"/>
  <c r="J95" i="54"/>
  <c r="K95" i="54" s="1"/>
  <c r="K93" i="54"/>
  <c r="O189" i="55"/>
  <c r="K186" i="59"/>
  <c r="J120" i="59"/>
  <c r="H120" i="59"/>
  <c r="H79" i="59"/>
  <c r="H85" i="59" s="1"/>
  <c r="J79" i="59"/>
  <c r="I6" i="54"/>
  <c r="J70" i="56"/>
  <c r="K68" i="56"/>
  <c r="G203" i="54"/>
  <c r="K160" i="54"/>
  <c r="K209" i="56" l="1"/>
  <c r="F215" i="56"/>
  <c r="K215" i="56" s="1"/>
  <c r="F201" i="55"/>
  <c r="K201" i="55" s="1"/>
  <c r="K169" i="55"/>
  <c r="F213" i="54"/>
  <c r="K56" i="54"/>
  <c r="F209" i="54"/>
  <c r="K36" i="54"/>
  <c r="H33" i="59"/>
  <c r="H5" i="59"/>
  <c r="H7" i="59" s="1"/>
  <c r="H13" i="59" s="1"/>
  <c r="K37" i="59"/>
  <c r="K76" i="59"/>
  <c r="G213" i="56"/>
  <c r="K56" i="56"/>
  <c r="H48" i="56"/>
  <c r="H49" i="56"/>
  <c r="H43" i="59"/>
  <c r="P187" i="55"/>
  <c r="N186" i="55"/>
  <c r="K169" i="56"/>
  <c r="G201" i="56"/>
  <c r="P155" i="59"/>
  <c r="P154" i="59" s="1"/>
  <c r="H93" i="59"/>
  <c r="J31" i="59"/>
  <c r="K31" i="59" s="1"/>
  <c r="H31" i="59"/>
  <c r="J203" i="54"/>
  <c r="H203" i="54"/>
  <c r="K120" i="59"/>
  <c r="O155" i="59"/>
  <c r="K87" i="59"/>
  <c r="J93" i="59"/>
  <c r="K93" i="59" s="1"/>
  <c r="K34" i="56"/>
  <c r="J36" i="56"/>
  <c r="K75" i="59"/>
  <c r="J148" i="56"/>
  <c r="K148" i="56" s="1"/>
  <c r="K146" i="56"/>
  <c r="K74" i="59"/>
  <c r="J33" i="59"/>
  <c r="K33" i="59" s="1"/>
  <c r="K26" i="59"/>
  <c r="I5" i="59"/>
  <c r="I5" i="55"/>
  <c r="K73" i="59"/>
  <c r="K52" i="59"/>
  <c r="K35" i="59"/>
  <c r="J42" i="59"/>
  <c r="K56" i="55"/>
  <c r="G213" i="55"/>
  <c r="F209" i="55"/>
  <c r="P189" i="55"/>
  <c r="K95" i="59"/>
  <c r="J100" i="59"/>
  <c r="K47" i="54"/>
  <c r="J49" i="54"/>
  <c r="G199" i="54" s="1"/>
  <c r="K146" i="54"/>
  <c r="J148" i="54"/>
  <c r="K148" i="54" s="1"/>
  <c r="K47" i="55"/>
  <c r="J49" i="55"/>
  <c r="J111" i="56"/>
  <c r="K111" i="56" s="1"/>
  <c r="K109" i="56"/>
  <c r="K72" i="59"/>
  <c r="O195" i="54"/>
  <c r="Q186" i="54" s="1"/>
  <c r="J49" i="56"/>
  <c r="K49" i="56" s="1"/>
  <c r="K47" i="56"/>
  <c r="K114" i="59"/>
  <c r="J115" i="59"/>
  <c r="K115" i="59" s="1"/>
  <c r="H101" i="59"/>
  <c r="H103" i="59" s="1"/>
  <c r="H13" i="55"/>
  <c r="I13" i="55" s="1"/>
  <c r="I7" i="55"/>
  <c r="K55" i="59"/>
  <c r="J57" i="59"/>
  <c r="K57" i="59" s="1"/>
  <c r="K62" i="54"/>
  <c r="J64" i="54"/>
  <c r="K70" i="56"/>
  <c r="J72" i="56"/>
  <c r="K72" i="56" s="1"/>
  <c r="N186" i="56"/>
  <c r="P187" i="56"/>
  <c r="I5" i="56"/>
  <c r="H7" i="56"/>
  <c r="J64" i="56"/>
  <c r="K62" i="56"/>
  <c r="K132" i="59"/>
  <c r="J133" i="59"/>
  <c r="H35" i="56"/>
  <c r="H36" i="56"/>
  <c r="K51" i="59"/>
  <c r="J53" i="59"/>
  <c r="K53" i="59" s="1"/>
  <c r="M6" i="59"/>
  <c r="M5" i="59"/>
  <c r="K84" i="59"/>
  <c r="H48" i="54"/>
  <c r="H49" i="54" s="1"/>
  <c r="K169" i="54"/>
  <c r="G201" i="54"/>
  <c r="K146" i="55"/>
  <c r="J148" i="55"/>
  <c r="K148" i="55" s="1"/>
  <c r="J64" i="55"/>
  <c r="K62" i="55"/>
  <c r="O195" i="56"/>
  <c r="Q191" i="56" s="1"/>
  <c r="Q186" i="56"/>
  <c r="K176" i="56"/>
  <c r="G203" i="56"/>
  <c r="K96" i="59"/>
  <c r="G203" i="55"/>
  <c r="K160" i="55"/>
  <c r="N186" i="54"/>
  <c r="J125" i="59"/>
  <c r="K125" i="59" s="1"/>
  <c r="K124" i="59"/>
  <c r="H201" i="55"/>
  <c r="J201" i="55"/>
  <c r="K122" i="55"/>
  <c r="J124" i="55"/>
  <c r="Q158" i="59"/>
  <c r="P160" i="59"/>
  <c r="P159" i="59" s="1"/>
  <c r="H49" i="59"/>
  <c r="P157" i="59"/>
  <c r="H122" i="59"/>
  <c r="H133" i="59" s="1"/>
  <c r="O156" i="59"/>
  <c r="Q156" i="59" s="1"/>
  <c r="K89" i="59"/>
  <c r="J111" i="55"/>
  <c r="K111" i="55" s="1"/>
  <c r="K109" i="55"/>
  <c r="H49" i="55"/>
  <c r="F199" i="55" s="1"/>
  <c r="H48" i="55"/>
  <c r="G211" i="54"/>
  <c r="K124" i="54"/>
  <c r="O186" i="55"/>
  <c r="J77" i="59"/>
  <c r="K77" i="59" s="1"/>
  <c r="K70" i="59"/>
  <c r="J17" i="19"/>
  <c r="I13" i="19"/>
  <c r="G199" i="55"/>
  <c r="K36" i="55"/>
  <c r="J85" i="59"/>
  <c r="K85" i="59" s="1"/>
  <c r="K79" i="59"/>
  <c r="H13" i="54"/>
  <c r="I13" i="54" s="1"/>
  <c r="I7" i="54"/>
  <c r="K71" i="59"/>
  <c r="O160" i="59"/>
  <c r="J49" i="59"/>
  <c r="K49" i="59" s="1"/>
  <c r="K47" i="59"/>
  <c r="O157" i="59"/>
  <c r="Q157" i="59" s="1"/>
  <c r="J122" i="59"/>
  <c r="K119" i="59"/>
  <c r="J137" i="56"/>
  <c r="K135" i="56"/>
  <c r="P191" i="54"/>
  <c r="F205" i="55" l="1"/>
  <c r="K199" i="55"/>
  <c r="G205" i="54"/>
  <c r="J199" i="54"/>
  <c r="F199" i="54"/>
  <c r="H179" i="54"/>
  <c r="H135" i="59"/>
  <c r="H136" i="59"/>
  <c r="G209" i="56"/>
  <c r="K64" i="56"/>
  <c r="N195" i="55"/>
  <c r="P186" i="55"/>
  <c r="K213" i="54"/>
  <c r="H213" i="54"/>
  <c r="J203" i="56"/>
  <c r="H203" i="56"/>
  <c r="H201" i="54"/>
  <c r="J201" i="54"/>
  <c r="I7" i="56"/>
  <c r="H13" i="56"/>
  <c r="I13" i="56" s="1"/>
  <c r="K49" i="55"/>
  <c r="K36" i="56"/>
  <c r="G199" i="56"/>
  <c r="J179" i="56"/>
  <c r="J203" i="55"/>
  <c r="H203" i="55"/>
  <c r="G209" i="54"/>
  <c r="K64" i="54"/>
  <c r="K100" i="59"/>
  <c r="J101" i="59"/>
  <c r="O195" i="55"/>
  <c r="Q191" i="55" s="1"/>
  <c r="O159" i="59"/>
  <c r="Q159" i="59" s="1"/>
  <c r="Q160" i="59"/>
  <c r="G205" i="55"/>
  <c r="H199" i="55"/>
  <c r="J199" i="55"/>
  <c r="H211" i="54"/>
  <c r="J211" i="54"/>
  <c r="K209" i="55"/>
  <c r="F215" i="55"/>
  <c r="K215" i="55" s="1"/>
  <c r="I7" i="59"/>
  <c r="J5" i="59"/>
  <c r="Q191" i="54"/>
  <c r="J179" i="55"/>
  <c r="F199" i="56"/>
  <c r="H179" i="56"/>
  <c r="J213" i="55"/>
  <c r="H213" i="55"/>
  <c r="H179" i="55"/>
  <c r="J13" i="19"/>
  <c r="K17" i="19"/>
  <c r="K137" i="56"/>
  <c r="G211" i="56"/>
  <c r="R159" i="59"/>
  <c r="N195" i="56"/>
  <c r="P195" i="56" s="1"/>
  <c r="P186" i="56"/>
  <c r="J179" i="54"/>
  <c r="P163" i="59"/>
  <c r="R154" i="59" s="1"/>
  <c r="N195" i="54"/>
  <c r="P195" i="54" s="1"/>
  <c r="P186" i="54"/>
  <c r="J135" i="59"/>
  <c r="K135" i="59" s="1"/>
  <c r="K133" i="59"/>
  <c r="K49" i="54"/>
  <c r="J43" i="59"/>
  <c r="K43" i="59" s="1"/>
  <c r="K42" i="59"/>
  <c r="O154" i="59"/>
  <c r="Q155" i="59"/>
  <c r="K122" i="59"/>
  <c r="G211" i="55"/>
  <c r="K124" i="55"/>
  <c r="K64" i="55"/>
  <c r="G209" i="55"/>
  <c r="H201" i="56"/>
  <c r="J201" i="56"/>
  <c r="J213" i="56"/>
  <c r="H213" i="56"/>
  <c r="K209" i="54"/>
  <c r="F215" i="54"/>
  <c r="K215" i="54" s="1"/>
  <c r="H181" i="54" l="1"/>
  <c r="H183" i="54" s="1"/>
  <c r="H185" i="54" s="1"/>
  <c r="K199" i="54"/>
  <c r="F205" i="54"/>
  <c r="J205" i="55"/>
  <c r="H205" i="55"/>
  <c r="K199" i="56"/>
  <c r="F205" i="56"/>
  <c r="Q186" i="55"/>
  <c r="P195" i="55"/>
  <c r="H199" i="54"/>
  <c r="K13" i="19"/>
  <c r="L17" i="19"/>
  <c r="N198" i="55"/>
  <c r="J183" i="55"/>
  <c r="K179" i="55"/>
  <c r="K179" i="56"/>
  <c r="J183" i="56"/>
  <c r="N198" i="56"/>
  <c r="J209" i="54"/>
  <c r="G215" i="54"/>
  <c r="H209" i="54"/>
  <c r="H211" i="56"/>
  <c r="J211" i="56"/>
  <c r="K179" i="54"/>
  <c r="N198" i="54"/>
  <c r="J183" i="54"/>
  <c r="J103" i="59"/>
  <c r="K101" i="59"/>
  <c r="J199" i="56"/>
  <c r="G205" i="56"/>
  <c r="H199" i="56"/>
  <c r="J209" i="56"/>
  <c r="G215" i="56"/>
  <c r="H209" i="56"/>
  <c r="J205" i="54"/>
  <c r="H205" i="54"/>
  <c r="H181" i="56"/>
  <c r="H183" i="56" s="1"/>
  <c r="H185" i="56" s="1"/>
  <c r="H181" i="55"/>
  <c r="H183" i="55" s="1"/>
  <c r="H185" i="55" s="1"/>
  <c r="H137" i="59"/>
  <c r="H138" i="59" s="1"/>
  <c r="H140" i="59" s="1"/>
  <c r="O163" i="59"/>
  <c r="Q154" i="59"/>
  <c r="G215" i="55"/>
  <c r="G218" i="55" s="1"/>
  <c r="J209" i="55"/>
  <c r="H209" i="55"/>
  <c r="H211" i="55"/>
  <c r="J211" i="55"/>
  <c r="J7" i="59"/>
  <c r="I13" i="59"/>
  <c r="J13" i="59" s="1"/>
  <c r="F218" i="55"/>
  <c r="K205" i="55"/>
  <c r="K218" i="55" s="1"/>
  <c r="H218" i="55" l="1"/>
  <c r="I201" i="55"/>
  <c r="I199" i="55"/>
  <c r="I203" i="55"/>
  <c r="I213" i="55"/>
  <c r="I209" i="55"/>
  <c r="I211" i="55"/>
  <c r="I205" i="55"/>
  <c r="I218" i="55" s="1"/>
  <c r="L13" i="19"/>
  <c r="M17" i="19"/>
  <c r="I215" i="54"/>
  <c r="J215" i="54"/>
  <c r="H215" i="54"/>
  <c r="K103" i="59"/>
  <c r="J136" i="59"/>
  <c r="J185" i="54"/>
  <c r="K185" i="54" s="1"/>
  <c r="K183" i="54"/>
  <c r="O166" i="59"/>
  <c r="Q163" i="59"/>
  <c r="J185" i="56"/>
  <c r="K185" i="56" s="1"/>
  <c r="K183" i="56"/>
  <c r="F218" i="54"/>
  <c r="K205" i="54"/>
  <c r="K218" i="54" s="1"/>
  <c r="J205" i="56"/>
  <c r="J218" i="56" s="1"/>
  <c r="I205" i="56"/>
  <c r="H205" i="56"/>
  <c r="G218" i="56"/>
  <c r="J215" i="56"/>
  <c r="I215" i="56"/>
  <c r="H215" i="56"/>
  <c r="J215" i="55"/>
  <c r="J218" i="55" s="1"/>
  <c r="I215" i="55"/>
  <c r="H215" i="55"/>
  <c r="J218" i="54"/>
  <c r="G218" i="54"/>
  <c r="F218" i="56"/>
  <c r="K205" i="56"/>
  <c r="K218" i="56" s="1"/>
  <c r="J185" i="55"/>
  <c r="K185" i="55" s="1"/>
  <c r="K183" i="55"/>
  <c r="H218" i="54" l="1"/>
  <c r="I213" i="54"/>
  <c r="I203" i="54"/>
  <c r="I199" i="54"/>
  <c r="I201" i="54"/>
  <c r="I211" i="54"/>
  <c r="I205" i="54"/>
  <c r="I218" i="54" s="1"/>
  <c r="I209" i="54"/>
  <c r="H218" i="56"/>
  <c r="I213" i="56"/>
  <c r="I203" i="56"/>
  <c r="I201" i="56"/>
  <c r="I211" i="56"/>
  <c r="I199" i="56"/>
  <c r="I209" i="56"/>
  <c r="I218" i="56"/>
  <c r="M13" i="19"/>
  <c r="N17" i="19"/>
  <c r="J138" i="59"/>
  <c r="K136" i="59"/>
  <c r="K138" i="59" l="1"/>
  <c r="J140" i="59"/>
  <c r="K140" i="59" s="1"/>
  <c r="N13" i="19"/>
  <c r="O17" i="19"/>
  <c r="O13" i="19" l="1"/>
  <c r="P17" i="19"/>
  <c r="Q17" i="19" l="1"/>
  <c r="P13" i="19"/>
  <c r="Q13" i="19" l="1"/>
  <c r="R17" i="19"/>
  <c r="R13" i="19" l="1"/>
  <c r="S17" i="19"/>
  <c r="S13" i="19" l="1"/>
  <c r="T17" i="19"/>
  <c r="T13" i="19" l="1"/>
  <c r="U17" i="19"/>
  <c r="U13" i="19" l="1"/>
  <c r="V17" i="19"/>
  <c r="V13" i="19" l="1"/>
  <c r="W17" i="19"/>
  <c r="W13" i="19" l="1"/>
  <c r="X17" i="19"/>
  <c r="Y17" i="19" l="1"/>
  <c r="X13" i="19"/>
  <c r="Y13" i="19" l="1"/>
  <c r="Z17" i="19"/>
  <c r="Z13" i="19" l="1"/>
  <c r="AA17" i="19"/>
  <c r="AA13" i="19" l="1"/>
  <c r="AB17" i="19"/>
  <c r="AB13" i="19" l="1"/>
  <c r="AC17" i="19"/>
  <c r="AC13" i="19" l="1"/>
  <c r="AD17" i="19"/>
  <c r="AD13" i="19" l="1"/>
  <c r="AE17" i="19"/>
  <c r="AE13" i="19" l="1"/>
  <c r="AF17" i="19"/>
  <c r="AF13" i="19" s="1"/>
  <c r="C4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tc={9308ADC0-CA01-47E7-9BBC-E18A736C7F26}</author>
    <author>tc={F36818F9-0A6F-4D87-AA61-572D711CBBD1}</author>
    <author>tc={2C1F3146-8DC4-4721-80A7-05FDD5C47BD8}</author>
  </authors>
  <commentList>
    <comment ref="J7" authorId="0" shapeId="0" xr:uid="{9308ADC0-CA01-47E7-9BBC-E18A736C7F26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Added $3M for Call Center</t>
        </r>
      </text>
    </comment>
    <comment ref="I15" authorId="1" shapeId="0" xr:uid="{F36818F9-0A6F-4D87-AA61-572D711CBBD1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Kbps</t>
        </r>
      </text>
    </comment>
    <comment ref="I16" authorId="2" shapeId="0" xr:uid="{2C1F3146-8DC4-4721-80A7-05FDD5C47BD8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Kbps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2F7613-4496-4FA8-8E95-A78D3FA70678}" keepAlive="1" name="Consulta - Table1" description="Conexión a la consulta 'Table1' en el libro." type="5" refreshedVersion="7" background="1" saveData="1">
    <dbPr connection="Provider=Microsoft.Mashup.OleDb.1;Data Source=$Workbook$;Location=Table1;Extended Properties=&quot;&quot;" command="SELECT * FROM [Table1]"/>
  </connection>
  <connection id="2" xr16:uid="{D2E964C0-1950-4C7F-98D0-A1E47B7263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6188624-D0F6-4568-B340-36012C992DCA}" name="WorksheetConnection_QTO TEMPLATE JAN1724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QTOTEMPLATEJAN1724.xlsxTable1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1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<sst xmlns="http://schemas.openxmlformats.org/spreadsheetml/2006/main" count="3355" uniqueCount="653">
  <si>
    <t>CAPEX</t>
  </si>
  <si>
    <t>OPEX</t>
  </si>
  <si>
    <t>Sites</t>
  </si>
  <si>
    <t>Margin</t>
  </si>
  <si>
    <t>Price</t>
  </si>
  <si>
    <t>Type</t>
  </si>
  <si>
    <t>Logistics (Storage center)</t>
  </si>
  <si>
    <t>ITEM 3</t>
  </si>
  <si>
    <t>Penalties</t>
  </si>
  <si>
    <t>Movings or Relocation 10% (Unistallation &amp; re installation)</t>
  </si>
  <si>
    <t>Without IVA</t>
  </si>
  <si>
    <t>Installation + Site Survey + Materials Sites Ka Band</t>
  </si>
  <si>
    <t xml:space="preserve">Local training about the monitoring tool and web filtering tool </t>
  </si>
  <si>
    <t>Profit Margin</t>
  </si>
  <si>
    <t>UIT</t>
  </si>
  <si>
    <t>Diferents Penalties on the month</t>
  </si>
  <si>
    <t>% sites with Penalties / month</t>
  </si>
  <si>
    <t>One time Network Operations and Management setup</t>
  </si>
  <si>
    <t>Space Segment Ka - T19V &amp; SES-17</t>
  </si>
  <si>
    <t>Cost</t>
  </si>
  <si>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</si>
  <si>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</si>
  <si>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</si>
  <si>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</si>
  <si>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</si>
  <si>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</si>
  <si>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</si>
  <si>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</si>
  <si>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</si>
  <si>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</si>
  <si>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</si>
  <si>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</si>
  <si>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</si>
  <si>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</si>
  <si>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</si>
  <si>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</si>
  <si>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</si>
  <si>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</si>
  <si>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</si>
  <si>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</si>
  <si>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</si>
  <si>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</si>
  <si>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</si>
  <si>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</si>
  <si>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</si>
  <si>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</si>
  <si>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</si>
  <si>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</si>
  <si>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</si>
  <si>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</si>
  <si>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CASH BALANCE</t>
  </si>
  <si>
    <t>OPERATING CASH FLOW</t>
  </si>
  <si>
    <t>INCOME</t>
  </si>
  <si>
    <t>OUTFLOW</t>
  </si>
  <si>
    <t>MONTHLY PAYMENT</t>
  </si>
  <si>
    <t>FCF</t>
  </si>
  <si>
    <t>FCF Discounted</t>
  </si>
  <si>
    <t>WACC (Monthly)</t>
  </si>
  <si>
    <t>WACC (annual)</t>
  </si>
  <si>
    <t>NPV (12m)</t>
  </si>
  <si>
    <t>NPV (24m)</t>
  </si>
  <si>
    <t>NPV (36m)</t>
  </si>
  <si>
    <t>NPV PROJECT (41m)</t>
  </si>
  <si>
    <t>PAYBACK</t>
  </si>
  <si>
    <t>TOTAL PRICE (USD)</t>
  </si>
  <si>
    <t>TOTAL PRICE (S/)</t>
  </si>
  <si>
    <t>FIRST PAYMENT</t>
  </si>
  <si>
    <t>ROLL OUT</t>
  </si>
  <si>
    <t>Description</t>
  </si>
  <si>
    <t>Qty</t>
  </si>
  <si>
    <t>Development and Implementation of Speed ​​Tests</t>
  </si>
  <si>
    <t>Mbps</t>
  </si>
  <si>
    <t xml:space="preserve">Hughes de Peru Operations </t>
  </si>
  <si>
    <t>COST</t>
  </si>
  <si>
    <t>PRICE</t>
  </si>
  <si>
    <t>Total</t>
  </si>
  <si>
    <t>SERVICE DESCRIPTION</t>
  </si>
  <si>
    <t>% Project Cost</t>
  </si>
  <si>
    <t>Cost / Site/Mo</t>
  </si>
  <si>
    <t>Price / Site/Mo</t>
  </si>
  <si>
    <t>This includes:</t>
  </si>
  <si>
    <t>Ka Band Managed Capacity</t>
  </si>
  <si>
    <t>Total Capacity</t>
  </si>
  <si>
    <t>Total Sites</t>
  </si>
  <si>
    <t>HW 3rd Party</t>
  </si>
  <si>
    <t>Contract Duration</t>
  </si>
  <si>
    <t>Installation &amp; Support</t>
  </si>
  <si>
    <t>Monitoring Platform for Links</t>
  </si>
  <si>
    <t>Monitoring Operation</t>
  </si>
  <si>
    <t>Tranportation Hughes</t>
  </si>
  <si>
    <t>Inputs</t>
  </si>
  <si>
    <t>HUGHES T19 Number of Sites</t>
  </si>
  <si>
    <t>Sites out of coverage</t>
  </si>
  <si>
    <t>Number of Sites</t>
  </si>
  <si>
    <t>Total capacity T19 (Mbps)</t>
  </si>
  <si>
    <t>Average Mbps per Site</t>
  </si>
  <si>
    <t>Terminal Unit Price (USD)</t>
  </si>
  <si>
    <t>COST - HUGHES  Ka band Mbps / Month (USD)</t>
  </si>
  <si>
    <t>Remote Spares</t>
  </si>
  <si>
    <t>Total of Spares</t>
  </si>
  <si>
    <t>Total capacity SES-17 (Mbps)</t>
  </si>
  <si>
    <t>Total Ka band Capacity (Mbps)</t>
  </si>
  <si>
    <t>COST - SES Ka band Mbps / Month (USD)</t>
  </si>
  <si>
    <t>Tipo de Cambio</t>
  </si>
  <si>
    <t xml:space="preserve">Contract </t>
  </si>
  <si>
    <t>Manufacturer Part #</t>
  </si>
  <si>
    <t>Product Code</t>
  </si>
  <si>
    <t>Unit of Pricing</t>
  </si>
  <si>
    <t>Unit Price</t>
  </si>
  <si>
    <t>Ext. Price</t>
  </si>
  <si>
    <t>Unit Cost</t>
  </si>
  <si>
    <t>Ext. Cost</t>
  </si>
  <si>
    <t>1505216-0332</t>
  </si>
  <si>
    <t>HT2010</t>
  </si>
  <si>
    <t>HT2010 Consumer Broadband Satellite Router, Ka Band only</t>
  </si>
  <si>
    <t>ea</t>
  </si>
  <si>
    <t>3W Multi-mode radio, Ka-Band, RHCP</t>
  </si>
  <si>
    <t>1506307-0001+1506307-0101</t>
  </si>
  <si>
    <t>AN-120-SG-P1 + AN-120-SG-P2</t>
  </si>
  <si>
    <t>1.2m Ka-Band antenna, Single IFL</t>
  </si>
  <si>
    <t>Discount</t>
  </si>
  <si>
    <t>1.2m Ka antenna tri-mast mount</t>
  </si>
  <si>
    <t>1506689-1004</t>
  </si>
  <si>
    <t>HB220-L</t>
  </si>
  <si>
    <t>Antenna Mast</t>
  </si>
  <si>
    <t xml:space="preserve">CAPEX REMOTE TERMINALS - VSAT </t>
  </si>
  <si>
    <t>CAPEX REMOTE TERMINALS - SPARE VSAT (20 kits vandalism and 5% for operations)</t>
  </si>
  <si>
    <t>INFRAESTRUCTURE</t>
  </si>
  <si>
    <t>Vendor</t>
  </si>
  <si>
    <t>CABINETS</t>
  </si>
  <si>
    <t>ROUTERS MIKROTIK</t>
  </si>
  <si>
    <t>MIKROTIK</t>
  </si>
  <si>
    <t>RB760IGS</t>
  </si>
  <si>
    <t>5x Gigabit Ethernet, SFP, Dual Core 880MHz CPU, 256MB RAM, USB, microSD, RouterOS L4, IPsec hardware encryption support and The Dude server package</t>
  </si>
  <si>
    <t>5x Gigabit Ethernet, SFP, Dual Core 880MHz CPU, 256MB RAM, USB, microSD, RouterOS L4, IPsec hardware encryption support and The Dude server package (20 kits vandalism and 5% for operations)</t>
  </si>
  <si>
    <t>DESKTOP COMPUTER</t>
  </si>
  <si>
    <t>ONE TIME SERVICES</t>
  </si>
  <si>
    <t>Failed visits during installation</t>
  </si>
  <si>
    <t>HUGHES</t>
  </si>
  <si>
    <t>RECURRING SERVICES</t>
  </si>
  <si>
    <t>Recurring services - Managemen</t>
  </si>
  <si>
    <t>SES-17</t>
  </si>
  <si>
    <t xml:space="preserve">TOTAL </t>
  </si>
  <si>
    <t>Overall Discount</t>
  </si>
  <si>
    <t>T19V</t>
  </si>
  <si>
    <t>MARGIN</t>
  </si>
  <si>
    <t>Digital Repositoriy</t>
  </si>
  <si>
    <t>Management and service desk system - Speed Test Reporting (hardware included) - 24 months</t>
  </si>
  <si>
    <t>ACCESS POINTS</t>
  </si>
  <si>
    <t>SOLAR PANELS</t>
  </si>
  <si>
    <t>Solar Panel</t>
  </si>
  <si>
    <t>Cabinet Outdoor</t>
  </si>
  <si>
    <t>Field Services - Site Corrective Maintenance - Ka Band (2Y)</t>
  </si>
  <si>
    <t>GRAND TOTAL</t>
  </si>
  <si>
    <t>Outdoor Dual radio WiFi 6 AP Omni 2x2, GbE. RW</t>
  </si>
  <si>
    <t>AC line cord, US Type B, 720mm, C5 connector</t>
  </si>
  <si>
    <t>XMS-Cloud 3-year subscription for Education: 2 and 3-radio AP with all EasyPass modules and Cambium Care Advanced Support</t>
  </si>
  <si>
    <t>QTO PRONATEL-EPAD SELVA</t>
  </si>
  <si>
    <t>Price x Site x Month</t>
  </si>
  <si>
    <t>Cost x Site x Month</t>
  </si>
  <si>
    <t>Local Training to 2 people of the EPAD about process to verify the terminal</t>
  </si>
  <si>
    <t>Ka managed capacity during the implementation - 6 months</t>
  </si>
  <si>
    <t>Managed Capacity Operations</t>
  </si>
  <si>
    <t>SUB TOTAL</t>
  </si>
  <si>
    <t>Solar Panel + Installation</t>
  </si>
  <si>
    <t>Months</t>
  </si>
  <si>
    <t>1376 X VSAT</t>
  </si>
  <si>
    <t>Total (IVA NOT INCLUDED)</t>
  </si>
  <si>
    <t xml:space="preserve">Dedicated FTE from Germantown </t>
  </si>
  <si>
    <t>Monitoring Plataform</t>
  </si>
  <si>
    <t>Price per Site per Month (with IVA)</t>
  </si>
  <si>
    <t>CAMBIUM</t>
  </si>
  <si>
    <t>PoE, 60W, 56V, 5GbE DC Injector, Indoor, Energy Level 6 Supply, accepts C5 connector</t>
  </si>
  <si>
    <t>Computadora para Monitoreo</t>
  </si>
  <si>
    <t>IBOSS-WEB FILTERING SOLUTION</t>
  </si>
  <si>
    <t>FORTINET ITEM 1</t>
  </si>
  <si>
    <t>FORTINET ITEM 2</t>
  </si>
  <si>
    <t>FORTINET ITEM 3</t>
  </si>
  <si>
    <t>FORTINET ITEM 4</t>
  </si>
  <si>
    <t>FORTINET ITEM 5</t>
  </si>
  <si>
    <t>FORTINET ALL ITEMS</t>
  </si>
  <si>
    <t>Edulink Mini Servidor Industrial</t>
  </si>
  <si>
    <t>Edulink Implementation</t>
  </si>
  <si>
    <t>Support 2 years</t>
  </si>
  <si>
    <t>Software Edulink</t>
  </si>
  <si>
    <t>Edulink Mini Servidor Industrial - Spare</t>
  </si>
  <si>
    <t>1506560-0012+1506561-0011</t>
  </si>
  <si>
    <t>AN-90-KA1-NL-4PK + AN-90-KA2-4PK</t>
  </si>
  <si>
    <t>90cm Ka-Band antenna, Single IFL, 4 PK- 4 antennas</t>
  </si>
  <si>
    <t>1506560-0022+ 1506561-0021</t>
  </si>
  <si>
    <t>AN-90-KA1-NL-1PK + AN-90-KA2-1PK</t>
  </si>
  <si>
    <t>90cm Ka-Band antenna, Single IFL, 1 PK</t>
  </si>
  <si>
    <t>Trimast Mount for 74cm and 90cm antenna</t>
  </si>
  <si>
    <t>Network Operation and Management - 24 months</t>
  </si>
  <si>
    <t>Owner</t>
  </si>
  <si>
    <t>HNS</t>
  </si>
  <si>
    <t>HDP</t>
  </si>
  <si>
    <t>Markup</t>
  </si>
  <si>
    <t>HNS - CAPEX - VSAT</t>
  </si>
  <si>
    <t>HNS - CAPEX - GW INFRA</t>
  </si>
  <si>
    <t>HNS - OPEX</t>
  </si>
  <si>
    <t>HDP CAPEX</t>
  </si>
  <si>
    <t>HDP - OPEX</t>
  </si>
  <si>
    <t>VSAT</t>
  </si>
  <si>
    <t>GW-INFRA</t>
  </si>
  <si>
    <t>Capacity (T19V+SES-17)</t>
  </si>
  <si>
    <t>QTO PRONATEL-EPAD SELVA - ITEM 1</t>
  </si>
  <si>
    <t>PRONATEL EPAD SELVA - ITEM 1</t>
  </si>
  <si>
    <t>QTO PRONATEL-EPAD SELVA - ITEM 2</t>
  </si>
  <si>
    <t>PRONATEL EPAD SELVA - ITEM 2</t>
  </si>
  <si>
    <t>QTO PRONATEL-EPAD SELVA - ITEM 3</t>
  </si>
  <si>
    <t>PRONATEL EPAD SELVA - ITEM 3</t>
  </si>
  <si>
    <t>Infraestructure</t>
  </si>
  <si>
    <t>One Time Services</t>
  </si>
  <si>
    <t>One Time Network and Management Operations</t>
  </si>
  <si>
    <t>ESTIMATED CASH FLOW - EPAD SATELITAL - ALL ITEMS - HUGHES AS A PRIME</t>
  </si>
  <si>
    <t>PRONATEL First Payment</t>
  </si>
  <si>
    <t>PRONATEL Monthly Payment</t>
  </si>
  <si>
    <t>Recurring services - Management, call out</t>
  </si>
  <si>
    <t>Transportation Hughes</t>
  </si>
  <si>
    <t>SES Capacity (0 Sites) - 0 Mbps</t>
  </si>
  <si>
    <t xml:space="preserve">Ka managed capacity for 24 Months -   970 Mbps - assuming 1:10 overbooking </t>
  </si>
  <si>
    <t xml:space="preserve">Ka managed capacity for 24 Months -   675 Mbps - assuming 1:10 overbooking </t>
  </si>
  <si>
    <t>SES Capacity  - 853 Mbps</t>
  </si>
  <si>
    <t xml:space="preserve">Ka managed capacity for 24 Months -   53 Mbps - assuming 1:10 overbooking </t>
  </si>
  <si>
    <t>Penalties / Reserve</t>
  </si>
  <si>
    <t>Server for SpeedTest - HP DL360</t>
  </si>
  <si>
    <t>Hosting for SpeedTest Servers</t>
  </si>
  <si>
    <t xml:space="preserve">SES Capacity  </t>
  </si>
  <si>
    <t xml:space="preserve">Ka managed capacity for 24 Months -  </t>
  </si>
  <si>
    <t>Thousends f</t>
  </si>
  <si>
    <t>add 3rd party caapcity</t>
  </si>
  <si>
    <t>in thousands</t>
  </si>
  <si>
    <t>Caacity cost  )our and 3rd party)</t>
  </si>
  <si>
    <t>Total caapacity (Hughes and 3rd party)</t>
  </si>
  <si>
    <t>Monthlky leased</t>
  </si>
  <si>
    <t>Show purchase price, exclude financing</t>
  </si>
  <si>
    <t>exclude financing analysis</t>
  </si>
  <si>
    <t>Price per site</t>
  </si>
  <si>
    <t>Price per Mbps</t>
  </si>
  <si>
    <t>Cost per site</t>
  </si>
  <si>
    <t>Number  of sites</t>
  </si>
  <si>
    <t xml:space="preserve">local quotes in local currency to avoid risk </t>
  </si>
  <si>
    <r>
      <rPr>
        <b/>
        <sz val="14"/>
        <color rgb="FFFF0000"/>
        <rFont val="Calibri"/>
        <family val="2"/>
        <scheme val="minor"/>
      </rPr>
      <t>Installation</t>
    </r>
    <r>
      <rPr>
        <b/>
        <sz val="14"/>
        <color rgb="FFFFFF00"/>
        <rFont val="Calibri"/>
        <family val="2"/>
        <scheme val="minor"/>
      </rPr>
      <t xml:space="preserve"> &amp; Support</t>
    </r>
  </si>
  <si>
    <t>One Time</t>
  </si>
  <si>
    <t>Vsats</t>
  </si>
  <si>
    <t>3rd party</t>
  </si>
  <si>
    <t>installation</t>
  </si>
  <si>
    <t>separate tab</t>
  </si>
  <si>
    <t>UPDATED COST HUGHES</t>
  </si>
  <si>
    <t>Hughes Equipment</t>
  </si>
  <si>
    <t>Baseline Equipment</t>
  </si>
  <si>
    <t>Spares (20 kits vandalism and 5% for operations)</t>
  </si>
  <si>
    <t>Subtotal Baseline Equipment</t>
  </si>
  <si>
    <t>Subtotal Spares</t>
  </si>
  <si>
    <t>Summary Hughes Equipment</t>
  </si>
  <si>
    <t>Third Party Equipment</t>
  </si>
  <si>
    <t>Spare Solar Panel</t>
  </si>
  <si>
    <t>Spare Cabinets</t>
  </si>
  <si>
    <t>Subtotal Solar Panels</t>
  </si>
  <si>
    <t>Subtotal Cabinets</t>
  </si>
  <si>
    <t xml:space="preserve">Subtotal Routers </t>
  </si>
  <si>
    <t>Subtotal Desktop Computer</t>
  </si>
  <si>
    <t>Subtotal IBOSS Web Filtering Solution</t>
  </si>
  <si>
    <t>Subtotal Access Points</t>
  </si>
  <si>
    <t>Subtotal One Time Services</t>
  </si>
  <si>
    <t>Subtotal One Time NW Ops and Mgmnt</t>
  </si>
  <si>
    <t>Subtotal Digital Repository</t>
  </si>
  <si>
    <t>Summary Third Party Equipment</t>
  </si>
  <si>
    <t>Hughes Services</t>
  </si>
  <si>
    <t>Hughes Capacity</t>
  </si>
  <si>
    <t>Third Party Capacity</t>
  </si>
  <si>
    <t>Subtotal Hughes Cpacity</t>
  </si>
  <si>
    <t>Subtotal Third Party Capacity</t>
  </si>
  <si>
    <t>Subtotal Penalties</t>
  </si>
  <si>
    <t>Summary OPEX</t>
  </si>
  <si>
    <t>Grand Total</t>
  </si>
  <si>
    <t>Total (CAPEX + OPEX)</t>
  </si>
  <si>
    <t>Monthly Price per Site (Icluding VAT)</t>
  </si>
  <si>
    <t>Notes</t>
  </si>
  <si>
    <t>SUBTOTAL CAPEX</t>
  </si>
  <si>
    <t>Network Operations &amp; Management</t>
  </si>
  <si>
    <t>Subtotal Network O&amp;M</t>
  </si>
  <si>
    <t>Monitoring and Hosting</t>
  </si>
  <si>
    <t>Subtotal Monitoring and Hosting</t>
  </si>
  <si>
    <t>Field Services</t>
  </si>
  <si>
    <t>Subtotal Field Services</t>
  </si>
  <si>
    <t>Third Party Services</t>
  </si>
  <si>
    <t>Summary Hughes Services</t>
  </si>
  <si>
    <t>Summary Third Party Services</t>
  </si>
  <si>
    <t>SUBTOTAL OPEX</t>
  </si>
  <si>
    <t>Hughes Eq.</t>
  </si>
  <si>
    <t>3rd Party Eq.</t>
  </si>
  <si>
    <t>3rd Party Services</t>
  </si>
  <si>
    <t>Category</t>
  </si>
  <si>
    <t>Subcategory</t>
  </si>
  <si>
    <t>Total Mbps</t>
  </si>
  <si>
    <t>Contract Term</t>
  </si>
  <si>
    <t>Unit Disc. Price</t>
  </si>
  <si>
    <t>Ext. Disc. Price</t>
  </si>
  <si>
    <t>Monthly Cost per Site</t>
  </si>
  <si>
    <t>Disct. Ext. Price</t>
  </si>
  <si>
    <t>Ext. Cost.</t>
  </si>
  <si>
    <t>% of Project</t>
  </si>
  <si>
    <t>Monthly Cost / Site</t>
  </si>
  <si>
    <t>MARGIN ANALYSIS SUMMARY</t>
  </si>
  <si>
    <t>Monthly Cost per Mbps</t>
  </si>
  <si>
    <t>Monthly Cost / Mbps</t>
  </si>
  <si>
    <t>Monthly Price per Site</t>
  </si>
  <si>
    <t>Monthly Price / Site</t>
  </si>
  <si>
    <t>Monthly Price per Mbps</t>
  </si>
  <si>
    <t>Monthly Price / Mbps</t>
  </si>
  <si>
    <t>3rd Party Equipment</t>
  </si>
  <si>
    <t>Ka- Band Managed Capacity</t>
  </si>
  <si>
    <t>Maintenace</t>
  </si>
  <si>
    <t>Installation</t>
  </si>
  <si>
    <t>Unit of Measure</t>
  </si>
  <si>
    <t>Kbps</t>
  </si>
  <si>
    <t>GB</t>
  </si>
  <si>
    <t>MB</t>
  </si>
  <si>
    <t>Financed?</t>
  </si>
  <si>
    <t>Unit</t>
  </si>
  <si>
    <t>Month</t>
  </si>
  <si>
    <t>Year</t>
  </si>
  <si>
    <t>Finance?</t>
  </si>
  <si>
    <t>CAPEX Financing Rate</t>
  </si>
  <si>
    <t>Financed CAPEX</t>
  </si>
  <si>
    <t>Financed Monthly Price per Site</t>
  </si>
  <si>
    <t>MRC</t>
  </si>
  <si>
    <t>NRC</t>
  </si>
  <si>
    <t>QUOTE</t>
  </si>
  <si>
    <t>Quote #:</t>
  </si>
  <si>
    <t xml:space="preserve">Date: </t>
  </si>
  <si>
    <t>QTO_000XXXX-00</t>
  </si>
  <si>
    <t>DO NOT DISTRIBUTE</t>
  </si>
  <si>
    <t>Prepared For:</t>
  </si>
  <si>
    <t>Client:</t>
  </si>
  <si>
    <t>Prepared By:</t>
  </si>
  <si>
    <t>Proposal Manager:</t>
  </si>
  <si>
    <t>Item</t>
  </si>
  <si>
    <t xml:space="preserve"> Unit Price</t>
  </si>
  <si>
    <t xml:space="preserve"> Unit Disc. Price</t>
  </si>
  <si>
    <t xml:space="preserve"> Ext. Disc. Price</t>
  </si>
  <si>
    <t xml:space="preserve"> Discount</t>
  </si>
  <si>
    <t xml:space="preserve">  Monthly Price per Site</t>
  </si>
  <si>
    <t>Monthly Recurring Payment per Site</t>
  </si>
  <si>
    <t>One Time Payment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</si>
  <si>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</si>
  <si>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</si>
  <si>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</si>
  <si>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</si>
  <si>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</si>
  <si>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</si>
  <si>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</si>
  <si>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</si>
  <si>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</si>
  <si>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Service</t>
  </si>
  <si>
    <t>Unlimited Satellite Internet Service (Includes 74cm ant.,2W Radio and HT2000W IDU)</t>
  </si>
  <si>
    <t>Servicios</t>
  </si>
  <si>
    <t>Costo (USD)</t>
  </si>
  <si>
    <t>Precio (USD)</t>
  </si>
  <si>
    <t>Pais</t>
  </si>
  <si>
    <t>Zona</t>
  </si>
  <si>
    <t>Tipo de Servicios</t>
  </si>
  <si>
    <t xml:space="preserve">Instalación servicio de internet con 
VSAT: 90cm /2W/ HT2010 /HT2010W 
equipo refurbish o nuevo </t>
  </si>
  <si>
    <t>PERU</t>
  </si>
  <si>
    <t>BASICA</t>
  </si>
  <si>
    <t>Internet</t>
  </si>
  <si>
    <t>INTERMEDIA</t>
  </si>
  <si>
    <t>CRITICA</t>
  </si>
  <si>
    <t>EXTREMO</t>
  </si>
  <si>
    <t xml:space="preserve">Instalación servicio de internet con 
VSAT: 120cm /3W/ HT2010 /HT2010W 
equipo refurbish o nuevo </t>
  </si>
  <si>
    <t>Internet o CBoS</t>
  </si>
  <si>
    <t xml:space="preserve">Instalación servicio de CBoS con 
VSAT: 120cm /3W/ HT2524
equipo nuevo </t>
  </si>
  <si>
    <t>CBoS</t>
  </si>
  <si>
    <t>Paneles solares
Autonomía :  8 Horas
Potencia de Carga : VSAT + AP + CPE = 170W  
Numero de paneles: 2 Paneles
Inversor 600W
Controlador de Panel Solar 20A 
Bateria 100 ah
Kit de Cables y Conectores</t>
  </si>
  <si>
    <t>Montaje de tablero de energía; instalación de controlador solar, cargador de baterías, baterías e inversor</t>
  </si>
  <si>
    <t>Mantenimiento Correctivo 8x5 x mes</t>
  </si>
  <si>
    <t>Mantenimiento Correctivo 24x7 x mes</t>
  </si>
  <si>
    <t>Mantenimiento Correctivo x Evento</t>
  </si>
  <si>
    <t>Mantenimiento Preventivo x Evento</t>
  </si>
  <si>
    <t>Obra Civil con base de concreto - antena 90cm</t>
  </si>
  <si>
    <t>Obra Civil con base de concreto - antena 120cm</t>
  </si>
  <si>
    <t>Implementacion de Pozo a Tierra - 10 ohm</t>
  </si>
  <si>
    <t>Instalacion Basica Access Point Indoor</t>
  </si>
  <si>
    <t>Instalacion Basica Access Point Outdoor</t>
  </si>
  <si>
    <t>Instalacion y Configuracion Router CPE Mikrotik</t>
  </si>
  <si>
    <t>Cableado Estructurado UTP CAT6/6A 30 mts</t>
  </si>
  <si>
    <t>Cableado Estructurado CAT6/6A 60 mts</t>
  </si>
  <si>
    <t>Cableado Estructurado CAT6/6A 90 mts</t>
  </si>
  <si>
    <t xml:space="preserve"> Montaje de panel informativo - Zona WiFi - Digital</t>
  </si>
  <si>
    <t>Departamento</t>
  </si>
  <si>
    <t>Provincia</t>
  </si>
  <si>
    <t>Distrito</t>
  </si>
  <si>
    <t>Nivel</t>
  </si>
  <si>
    <t>AMAZONAS</t>
  </si>
  <si>
    <t>CHACHAPOYAS</t>
  </si>
  <si>
    <t>Todos</t>
  </si>
  <si>
    <t>Básica</t>
  </si>
  <si>
    <t>BAGUA</t>
  </si>
  <si>
    <t>LUYA</t>
  </si>
  <si>
    <t>BONGARA</t>
  </si>
  <si>
    <t>CONDORCANQUI</t>
  </si>
  <si>
    <t>Critica</t>
  </si>
  <si>
    <t>RODRIGUEZ DE MENDOZA</t>
  </si>
  <si>
    <t>Intermedia</t>
  </si>
  <si>
    <t>UTCUBAMBA</t>
  </si>
  <si>
    <t>ANCASH</t>
  </si>
  <si>
    <t>HUARAZ</t>
  </si>
  <si>
    <t>AIJA</t>
  </si>
  <si>
    <t>ANTONIO RAYMONDI</t>
  </si>
  <si>
    <t>ASUNCION</t>
  </si>
  <si>
    <t>BOLOGNESI</t>
  </si>
  <si>
    <t>CARHUAZ</t>
  </si>
  <si>
    <t>CARLOS FERMIN FITZCARRALD</t>
  </si>
  <si>
    <t>CASMA</t>
  </si>
  <si>
    <t>CORONGO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</si>
  <si>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</si>
  <si>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</si>
  <si>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</si>
  <si>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</si>
  <si>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</si>
  <si>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</si>
  <si>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</si>
  <si>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</si>
  <si>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</si>
  <si>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</si>
  <si>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</si>
  <si>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APURIMAC</t>
  </si>
  <si>
    <t>CHINCHEROS</t>
  </si>
  <si>
    <t>ANDAHUAYLAS</t>
  </si>
  <si>
    <t>AYMARAES</t>
  </si>
  <si>
    <t>ABANCAY</t>
  </si>
  <si>
    <t>GRAU</t>
  </si>
  <si>
    <t>ANTABAMBA</t>
  </si>
  <si>
    <t>COTABAMBAS</t>
  </si>
  <si>
    <t>AREQUIPA</t>
  </si>
  <si>
    <t>CARAVELI</t>
  </si>
  <si>
    <t>LA UNION</t>
  </si>
  <si>
    <t>CAYLLOMA</t>
  </si>
  <si>
    <t>CONDESUYOS</t>
  </si>
  <si>
    <t>CASTILLAS</t>
  </si>
  <si>
    <t>CAMANA</t>
  </si>
  <si>
    <t>ISLAY</t>
  </si>
  <si>
    <t>AYACUCHO</t>
  </si>
  <si>
    <t>HUANTA</t>
  </si>
  <si>
    <t>LA MAR</t>
  </si>
  <si>
    <t>HUAMANGA</t>
  </si>
  <si>
    <t>CANGALLO</t>
  </si>
  <si>
    <t>VILCAS HUAMAN</t>
  </si>
  <si>
    <t>HUANCAS SANCO</t>
  </si>
  <si>
    <t>VICTOR FAJARDO</t>
  </si>
  <si>
    <t>SUCRE</t>
  </si>
  <si>
    <t>LUCANAS</t>
  </si>
  <si>
    <t>PARINACOCHAS</t>
  </si>
  <si>
    <t>PAUCAR DEL SARA SARA</t>
  </si>
  <si>
    <t>CAJAMARCA</t>
  </si>
  <si>
    <t>CAJABAMBA</t>
  </si>
  <si>
    <t>CELENDIN</t>
  </si>
  <si>
    <t>CHOTA</t>
  </si>
  <si>
    <t>CONTUMAZA</t>
  </si>
  <si>
    <t>CUTERVO</t>
  </si>
  <si>
    <t>HUALGAYOC</t>
  </si>
  <si>
    <t>JAEN</t>
  </si>
  <si>
    <t>SAN IGNACIO</t>
  </si>
  <si>
    <t>SAN MARCOS</t>
  </si>
  <si>
    <t>SAN MIGUEL</t>
  </si>
  <si>
    <t>SAN PABLO</t>
  </si>
  <si>
    <t>SANTA CRUZ</t>
  </si>
  <si>
    <t>CUSCO</t>
  </si>
  <si>
    <t>LA CONVENCION</t>
  </si>
  <si>
    <t>Extremo</t>
  </si>
  <si>
    <t>CALCA</t>
  </si>
  <si>
    <t>URUBAMBA</t>
  </si>
  <si>
    <t>ANTA</t>
  </si>
  <si>
    <t>PARURO</t>
  </si>
  <si>
    <t>ACOMAYO</t>
  </si>
  <si>
    <t>PAUCARTAMBO</t>
  </si>
  <si>
    <t>QUISPICANCHI</t>
  </si>
  <si>
    <t>CHUMBIVILCAS</t>
  </si>
  <si>
    <t>CANAS</t>
  </si>
  <si>
    <t>ESPINAR</t>
  </si>
  <si>
    <t>CANCHIS</t>
  </si>
  <si>
    <t>HUANCAVELICA</t>
  </si>
  <si>
    <t>TAYACAJA</t>
  </si>
  <si>
    <t>CHURCAMPA</t>
  </si>
  <si>
    <t>ACOBAMBA</t>
  </si>
  <si>
    <t>ANGARAES</t>
  </si>
  <si>
    <t>HUAYTARA</t>
  </si>
  <si>
    <t>CATROVIRREYNA</t>
  </si>
  <si>
    <t>HUANUCO</t>
  </si>
  <si>
    <t>AMBO</t>
  </si>
  <si>
    <t>DOS DE MAYO</t>
  </si>
  <si>
    <t>HUACAYBAMBA</t>
  </si>
  <si>
    <t>HUAMALIES</t>
  </si>
  <si>
    <t>LEONCIO PRADO</t>
  </si>
  <si>
    <t>MARAÑON</t>
  </si>
  <si>
    <t>PACHITEA</t>
  </si>
  <si>
    <t>PUERTO INCA</t>
  </si>
  <si>
    <t>LAURICOCHA</t>
  </si>
  <si>
    <t>YAROWILCA</t>
  </si>
  <si>
    <t>ICA</t>
  </si>
  <si>
    <t>CHINCHA</t>
  </si>
  <si>
    <t>PISCO</t>
  </si>
  <si>
    <t>PALPA</t>
  </si>
  <si>
    <t>NAZCA</t>
  </si>
  <si>
    <t>JUNIN</t>
  </si>
  <si>
    <t>HUANCAYO</t>
  </si>
  <si>
    <t>CHUPACA</t>
  </si>
  <si>
    <t>CONCEPCION</t>
  </si>
  <si>
    <t>JAUJA</t>
  </si>
  <si>
    <t>YAULI</t>
  </si>
  <si>
    <t>TARMA</t>
  </si>
  <si>
    <t>CHANCHAMAYO</t>
  </si>
  <si>
    <t>SATIPO</t>
  </si>
  <si>
    <t>LA LIBERTAD</t>
  </si>
  <si>
    <t>TRUJILLO</t>
  </si>
  <si>
    <t>ASCOPE</t>
  </si>
  <si>
    <t>BOLIVAR</t>
  </si>
  <si>
    <t>CHEPEN</t>
  </si>
  <si>
    <t>JULCAN</t>
  </si>
  <si>
    <t>OTUZCO</t>
  </si>
  <si>
    <t>PACASMAYO</t>
  </si>
  <si>
    <t>PATAZ</t>
  </si>
  <si>
    <t>SANCHEZ CARRION</t>
  </si>
  <si>
    <t>SANTIAGO DE CHUCO</t>
  </si>
  <si>
    <t>GRAN CHIMU</t>
  </si>
  <si>
    <t>VIRU</t>
  </si>
  <si>
    <t>LAMBAYEQUE</t>
  </si>
  <si>
    <t>CHICLAYO</t>
  </si>
  <si>
    <t>FERREÑAFE</t>
  </si>
  <si>
    <t>OLMOS</t>
  </si>
  <si>
    <t>LIMA</t>
  </si>
  <si>
    <t>BARRANCA</t>
  </si>
  <si>
    <t>CAJATAMBO</t>
  </si>
  <si>
    <t>CANTA</t>
  </si>
  <si>
    <t>CAÑETE</t>
  </si>
  <si>
    <t>HUARAL</t>
  </si>
  <si>
    <t>HUAROCHIRI</t>
  </si>
  <si>
    <t>HUAURA</t>
  </si>
  <si>
    <t>OYON</t>
  </si>
  <si>
    <t>YAUYOS</t>
  </si>
  <si>
    <t>LORETO</t>
  </si>
  <si>
    <t>MADRE DE DIOS</t>
  </si>
  <si>
    <t>TAHUAMANU</t>
  </si>
  <si>
    <t>TAMBOPATA</t>
  </si>
  <si>
    <t>MANU</t>
  </si>
  <si>
    <t>MOQUEGUA</t>
  </si>
  <si>
    <t>GENERAL SANCHEZ CERRO</t>
  </si>
  <si>
    <t>ILO</t>
  </si>
  <si>
    <t>MARISCAL NIETO</t>
  </si>
  <si>
    <t>PASCO</t>
  </si>
  <si>
    <t>DANIEL ALCIDES CARRION</t>
  </si>
  <si>
    <t>OXAPAMPA</t>
  </si>
  <si>
    <t>PIURA</t>
  </si>
  <si>
    <t>AYABACA</t>
  </si>
  <si>
    <t>HUANCABAMBA</t>
  </si>
  <si>
    <t>MORROPON</t>
  </si>
  <si>
    <t>PAITA</t>
  </si>
  <si>
    <t>SULLANA</t>
  </si>
  <si>
    <t>TALARA</t>
  </si>
  <si>
    <t>SECHURA</t>
  </si>
  <si>
    <t>PUNO</t>
  </si>
  <si>
    <t>CARABAYA</t>
  </si>
  <si>
    <t>SANDIA</t>
  </si>
  <si>
    <t>MELGAR</t>
  </si>
  <si>
    <t>AZANGARO</t>
  </si>
  <si>
    <t>SAN ANTONIO DE PUTINA</t>
  </si>
  <si>
    <t>SAN ROMAN</t>
  </si>
  <si>
    <t>HUANCANE</t>
  </si>
  <si>
    <t>MOHO</t>
  </si>
  <si>
    <t>YUNGUYO</t>
  </si>
  <si>
    <t>EL COLLAO</t>
  </si>
  <si>
    <t>CHUCUITO</t>
  </si>
  <si>
    <t>LAMPA</t>
  </si>
  <si>
    <t>SAN MARTIN</t>
  </si>
  <si>
    <t>MOYOBAMBA</t>
  </si>
  <si>
    <t>BELLAVISTA</t>
  </si>
  <si>
    <t>EL DORADO</t>
  </si>
  <si>
    <t>HUALLAGA</t>
  </si>
  <si>
    <t>LAMAS</t>
  </si>
  <si>
    <t>MARISCAL CACERES</t>
  </si>
  <si>
    <t>PICOTA</t>
  </si>
  <si>
    <t>RIOJA</t>
  </si>
  <si>
    <t>TOCACHE</t>
  </si>
  <si>
    <t>TACNA</t>
  </si>
  <si>
    <t>JORGE BASADRE</t>
  </si>
  <si>
    <t>CANDARAVE</t>
  </si>
  <si>
    <t>TARATA</t>
  </si>
  <si>
    <t>UCAYALI</t>
  </si>
  <si>
    <t>CORONEL PORTILLO</t>
  </si>
  <si>
    <t>ATALAYA</t>
  </si>
  <si>
    <t>PADRE ABAD</t>
  </si>
  <si>
    <t>PURUS</t>
  </si>
  <si>
    <t>CHUQUIBAMBA</t>
  </si>
  <si>
    <t>LIEIMEBAMBA
(Valle Los Chilchos)</t>
  </si>
  <si>
    <t>EL CENEPA</t>
  </si>
  <si>
    <t>ALTO SAPOSOA</t>
  </si>
  <si>
    <t>U019</t>
  </si>
  <si>
    <t>Monee, IL</t>
  </si>
  <si>
    <t>U020</t>
  </si>
  <si>
    <t>North Platte, NE</t>
  </si>
  <si>
    <t>U023</t>
  </si>
  <si>
    <t>Spokane, WA</t>
  </si>
  <si>
    <t>U025</t>
  </si>
  <si>
    <t>U026</t>
  </si>
  <si>
    <t>U027</t>
  </si>
  <si>
    <t>OFFNET</t>
  </si>
  <si>
    <t>U021</t>
  </si>
  <si>
    <t>Riverside, CA</t>
  </si>
  <si>
    <t>Count of Hughes ID</t>
  </si>
  <si>
    <t>Column Labels</t>
  </si>
  <si>
    <t>Row Labels</t>
  </si>
  <si>
    <t xml:space="preserve">Service Plan </t>
  </si>
  <si>
    <t>Country</t>
  </si>
  <si>
    <t xml:space="preserve">LATAM SERVICE PLANS </t>
  </si>
  <si>
    <t>UNLIMTED SERVICE PLANS</t>
  </si>
  <si>
    <t>HUGHES Unlimited Service Plan´s Pricing</t>
  </si>
  <si>
    <t>MIR</t>
  </si>
  <si>
    <t>CIR</t>
  </si>
  <si>
    <t>%</t>
  </si>
  <si>
    <t>Download (Mbps)</t>
  </si>
  <si>
    <t>Upload (Mbps)</t>
  </si>
  <si>
    <t>Total CIR</t>
  </si>
  <si>
    <t>SLA</t>
  </si>
  <si>
    <t>Cost per Mbps Ka Band T19</t>
  </si>
  <si>
    <t>Operations Cost per Site</t>
  </si>
  <si>
    <t>Internet Cost per Mbps</t>
  </si>
  <si>
    <t>Total Cost</t>
  </si>
  <si>
    <t>Target Price</t>
  </si>
  <si>
    <t>Price / MBPS</t>
  </si>
  <si>
    <t>Price MRC</t>
  </si>
  <si>
    <t>MRC Price</t>
  </si>
  <si>
    <t>Target Price for TGS</t>
  </si>
  <si>
    <t>BACKUP PLAN</t>
  </si>
  <si>
    <t>Monthly Allowance</t>
  </si>
  <si>
    <t>GB/Month</t>
  </si>
  <si>
    <t>Operations Cost per Mbps</t>
  </si>
  <si>
    <t>aquamanager</t>
  </si>
  <si>
    <t>Extra GB/Month</t>
  </si>
  <si>
    <t>UNLIMTED SERVICE PLANS for TGS</t>
  </si>
  <si>
    <t>HUGHES Unlimited Service Plan´s Pricing for TGS</t>
  </si>
  <si>
    <t>Target price</t>
  </si>
  <si>
    <t>Overbooking</t>
  </si>
  <si>
    <t>Total general</t>
  </si>
  <si>
    <t>Terminal Unit Price (USD) - ExWorks USA</t>
  </si>
  <si>
    <t xml:space="preserve"> </t>
  </si>
  <si>
    <t>(Varios elementos)</t>
  </si>
  <si>
    <t/>
  </si>
  <si>
    <t>1111</t>
  </si>
  <si>
    <t>qqqqq+qqq</t>
  </si>
  <si>
    <t>11</t>
  </si>
  <si>
    <t>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</si>
</sst>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[$$-409]* #,##0_ ;_-[$$-409]* \-#,##0\ ;_-[$$-409]* &quot;-&quot;??_ ;_-@_ "/>
    <numFmt numFmtId="168" formatCode="_-[$S/-280A]\ * #,##0.00_-;\-[$S/-280A]\ * #,##0.00_-;_-[$S/-280A]\ * &quot;-&quot;??_-;_-@_-"/>
    <numFmt numFmtId="169" formatCode="0.0%"/>
    <numFmt numFmtId="170" formatCode="_-[$$-540A]* #,##0.00_ ;_-[$$-540A]* \-#,##0.00\ ;_-[$$-540A]* &quot;-&quot;??_ ;_-@_ "/>
    <numFmt numFmtId="171" formatCode="_(&quot;$&quot;* #,##0_);_(&quot;$&quot;* \(#,##0\);_(&quot;$&quot;* &quot;-&quot;??_);_(@_)"/>
    <numFmt numFmtId="172" formatCode="#,##0.000"/>
    <numFmt numFmtId="173" formatCode="0.0"/>
    <numFmt numFmtId="174" formatCode="_-[$KUSD]\ * #,##0.00_-;\-[$KUSD]\ * #,##0.00_-;_-[$KUSD]\ * &quot;-&quot;??_-;_-@_-"/>
    <numFmt numFmtId="175" formatCode="_([$USD]\ * #,##0.00_);_([$USD]\ * \(#,##0.00\);_([$USD]\ * &quot;-&quot;??_);_(@_)"/>
    <numFmt numFmtId="176" formatCode="[$S/-280A]\ #,##0.00"/>
    <numFmt numFmtId="177" formatCode="_(* #,##0.000_);_(* \(#,##0.000\);_(* &quot;-&quot;??_);_(@_)"/>
    <numFmt numFmtId="178" formatCode="_(&quot;$&quot;* #,##0.000_);_(&quot;$&quot;* \(#,##0.000\);_(&quot;$&quot;* &quot;-&quot;??_);_(@_)"/>
  </numFmts>
  <fonts count="5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5"/>
      <color theme="0" tint="-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name val="Arial"/>
      <family val="2"/>
    </font>
    <font>
      <b/>
      <sz val="14"/>
      <color rgb="FFFFFF00"/>
      <name val="Calibri"/>
      <family val="2"/>
      <scheme val="minor"/>
    </font>
    <font>
      <sz val="11"/>
      <color theme="1"/>
      <name val="Arial"/>
      <family val="2"/>
    </font>
    <font>
      <sz val="10"/>
      <name val="Trebuchet MS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1"/>
      <name val="Calibri"/>
      <family val="2"/>
    </font>
    <font>
      <u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6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3" fillId="0" borderId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5" fillId="0" borderId="0"/>
    <xf numFmtId="0" fontId="26" fillId="0" borderId="0"/>
    <xf numFmtId="166" fontId="4" fillId="0" borderId="0" applyFont="0" applyFill="0" applyBorder="0" applyAlignment="0" applyProtection="0"/>
    <xf numFmtId="0" fontId="48" fillId="0" borderId="0"/>
    <xf numFmtId="0" fontId="4" fillId="0" borderId="0"/>
  </cellStyleXfs>
  <cellXfs count="470">
    <xf numFmtId="0" fontId="0" fillId="0" borderId="0" xfId="0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167" fontId="6" fillId="4" borderId="8" xfId="1" applyNumberFormat="1" applyFont="1" applyFill="1" applyBorder="1" applyAlignment="1" applyProtection="1">
      <alignment horizontal="center" vertical="center" wrapText="1"/>
    </xf>
    <xf numFmtId="168" fontId="8" fillId="3" borderId="0" xfId="0" applyNumberFormat="1" applyFont="1" applyFill="1" applyAlignment="1">
      <alignment vertical="center"/>
    </xf>
    <xf numFmtId="0" fontId="7" fillId="0" borderId="1" xfId="0" applyFont="1" applyBorder="1" applyAlignment="1">
      <alignment horizontal="center" vertical="center"/>
    </xf>
    <xf numFmtId="167" fontId="6" fillId="4" borderId="0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8" xfId="0" applyFont="1" applyFill="1" applyBorder="1"/>
    <xf numFmtId="170" fontId="6" fillId="4" borderId="8" xfId="0" applyNumberFormat="1" applyFont="1" applyFill="1" applyBorder="1"/>
    <xf numFmtId="0" fontId="7" fillId="0" borderId="17" xfId="0" applyFont="1" applyBorder="1"/>
    <xf numFmtId="0" fontId="12" fillId="4" borderId="0" xfId="0" applyFont="1" applyFill="1"/>
    <xf numFmtId="0" fontId="7" fillId="4" borderId="8" xfId="0" applyFont="1" applyFill="1" applyBorder="1"/>
    <xf numFmtId="0" fontId="7" fillId="0" borderId="0" xfId="0" applyFont="1" applyAlignment="1">
      <alignment horizontal="right"/>
    </xf>
    <xf numFmtId="170" fontId="7" fillId="0" borderId="0" xfId="0" applyNumberFormat="1" applyFont="1"/>
    <xf numFmtId="0" fontId="9" fillId="8" borderId="9" xfId="0" applyFont="1" applyFill="1" applyBorder="1"/>
    <xf numFmtId="170" fontId="5" fillId="8" borderId="13" xfId="0" applyNumberFormat="1" applyFont="1" applyFill="1" applyBorder="1"/>
    <xf numFmtId="0" fontId="7" fillId="4" borderId="12" xfId="0" applyFont="1" applyFill="1" applyBorder="1"/>
    <xf numFmtId="0" fontId="7" fillId="8" borderId="8" xfId="0" applyFont="1" applyFill="1" applyBorder="1"/>
    <xf numFmtId="0" fontId="7" fillId="8" borderId="12" xfId="0" applyFont="1" applyFill="1" applyBorder="1"/>
    <xf numFmtId="170" fontId="5" fillId="8" borderId="12" xfId="0" applyNumberFormat="1" applyFont="1" applyFill="1" applyBorder="1"/>
    <xf numFmtId="170" fontId="8" fillId="3" borderId="0" xfId="0" applyNumberFormat="1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0" fontId="6" fillId="9" borderId="8" xfId="0" applyFont="1" applyFill="1" applyBorder="1" applyAlignment="1">
      <alignment horizontal="center"/>
    </xf>
    <xf numFmtId="169" fontId="7" fillId="0" borderId="1" xfId="0" applyNumberFormat="1" applyFont="1" applyBorder="1" applyAlignment="1">
      <alignment horizontal="center"/>
    </xf>
    <xf numFmtId="0" fontId="6" fillId="4" borderId="18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169" fontId="7" fillId="0" borderId="11" xfId="0" applyNumberFormat="1" applyFont="1" applyBorder="1" applyAlignment="1">
      <alignment horizontal="center"/>
    </xf>
    <xf numFmtId="170" fontId="7" fillId="0" borderId="11" xfId="0" applyNumberFormat="1" applyFont="1" applyBorder="1" applyAlignment="1">
      <alignment horizontal="center" vertical="center"/>
    </xf>
    <xf numFmtId="9" fontId="7" fillId="0" borderId="11" xfId="0" applyNumberFormat="1" applyFont="1" applyBorder="1" applyAlignment="1">
      <alignment horizontal="center"/>
    </xf>
    <xf numFmtId="0" fontId="9" fillId="8" borderId="19" xfId="0" applyFont="1" applyFill="1" applyBorder="1"/>
    <xf numFmtId="0" fontId="9" fillId="8" borderId="14" xfId="0" applyFont="1" applyFill="1" applyBorder="1"/>
    <xf numFmtId="0" fontId="7" fillId="0" borderId="16" xfId="0" applyFont="1" applyBorder="1"/>
    <xf numFmtId="0" fontId="14" fillId="4" borderId="0" xfId="0" applyFont="1" applyFill="1" applyAlignment="1">
      <alignment horizontal="center"/>
    </xf>
    <xf numFmtId="170" fontId="12" fillId="9" borderId="8" xfId="0" applyNumberFormat="1" applyFont="1" applyFill="1" applyBorder="1"/>
    <xf numFmtId="170" fontId="12" fillId="9" borderId="12" xfId="0" applyNumberFormat="1" applyFont="1" applyFill="1" applyBorder="1"/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0" fillId="7" borderId="0" xfId="0" applyFill="1"/>
    <xf numFmtId="171" fontId="11" fillId="5" borderId="22" xfId="0" applyNumberFormat="1" applyFont="1" applyFill="1" applyBorder="1" applyAlignment="1">
      <alignment vertical="center"/>
    </xf>
    <xf numFmtId="10" fontId="11" fillId="5" borderId="0" xfId="0" applyNumberFormat="1" applyFont="1" applyFill="1" applyAlignment="1">
      <alignment horizontal="center"/>
    </xf>
    <xf numFmtId="165" fontId="11" fillId="5" borderId="0" xfId="3" applyFont="1" applyFill="1" applyAlignment="1">
      <alignment horizontal="center"/>
    </xf>
    <xf numFmtId="43" fontId="0" fillId="0" borderId="0" xfId="0" applyNumberFormat="1"/>
    <xf numFmtId="0" fontId="7" fillId="0" borderId="0" xfId="0" applyFont="1" applyAlignment="1">
      <alignment horizontal="center"/>
    </xf>
    <xf numFmtId="0" fontId="2" fillId="0" borderId="0" xfId="0" applyFont="1"/>
    <xf numFmtId="0" fontId="5" fillId="12" borderId="1" xfId="0" applyFont="1" applyFill="1" applyBorder="1" applyAlignment="1">
      <alignment horizontal="right"/>
    </xf>
    <xf numFmtId="3" fontId="19" fillId="10" borderId="1" xfId="0" applyNumberFormat="1" applyFont="1" applyFill="1" applyBorder="1" applyAlignment="1">
      <alignment horizontal="left"/>
    </xf>
    <xf numFmtId="0" fontId="19" fillId="10" borderId="1" xfId="0" applyFont="1" applyFill="1" applyBorder="1" applyAlignment="1">
      <alignment horizontal="left"/>
    </xf>
    <xf numFmtId="3" fontId="7" fillId="10" borderId="1" xfId="0" applyNumberFormat="1" applyFont="1" applyFill="1" applyBorder="1" applyAlignment="1">
      <alignment horizontal="left"/>
    </xf>
    <xf numFmtId="172" fontId="7" fillId="10" borderId="1" xfId="0" applyNumberFormat="1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173" fontId="7" fillId="10" borderId="1" xfId="0" applyNumberFormat="1" applyFont="1" applyFill="1" applyBorder="1" applyAlignment="1">
      <alignment horizontal="left"/>
    </xf>
    <xf numFmtId="10" fontId="19" fillId="10" borderId="1" xfId="0" applyNumberFormat="1" applyFont="1" applyFill="1" applyBorder="1" applyAlignment="1">
      <alignment horizontal="left"/>
    </xf>
    <xf numFmtId="0" fontId="5" fillId="12" borderId="0" xfId="0" applyFont="1" applyFill="1"/>
    <xf numFmtId="0" fontId="7" fillId="12" borderId="0" xfId="0" applyFont="1" applyFill="1"/>
    <xf numFmtId="0" fontId="5" fillId="0" borderId="0" xfId="0" applyFont="1"/>
    <xf numFmtId="173" fontId="7" fillId="0" borderId="0" xfId="0" applyNumberFormat="1" applyFont="1"/>
    <xf numFmtId="3" fontId="7" fillId="0" borderId="0" xfId="0" applyNumberFormat="1" applyFont="1"/>
    <xf numFmtId="10" fontId="7" fillId="0" borderId="0" xfId="0" applyNumberFormat="1" applyFont="1"/>
    <xf numFmtId="0" fontId="7" fillId="0" borderId="0" xfId="0" applyFont="1" applyAlignment="1">
      <alignment horizontal="left"/>
    </xf>
    <xf numFmtId="173" fontId="7" fillId="0" borderId="2" xfId="0" applyNumberFormat="1" applyFont="1" applyBorder="1"/>
    <xf numFmtId="3" fontId="7" fillId="0" borderId="2" xfId="0" applyNumberFormat="1" applyFont="1" applyBorder="1"/>
    <xf numFmtId="10" fontId="7" fillId="0" borderId="2" xfId="0" applyNumberFormat="1" applyFont="1" applyBorder="1"/>
    <xf numFmtId="3" fontId="16" fillId="0" borderId="0" xfId="0" applyNumberFormat="1" applyFont="1"/>
    <xf numFmtId="0" fontId="16" fillId="0" borderId="0" xfId="0" applyFont="1"/>
    <xf numFmtId="10" fontId="16" fillId="0" borderId="0" xfId="0" applyNumberFormat="1" applyFont="1"/>
    <xf numFmtId="0" fontId="7" fillId="0" borderId="0" xfId="0" applyFont="1" applyAlignment="1">
      <alignment wrapText="1"/>
    </xf>
    <xf numFmtId="0" fontId="7" fillId="0" borderId="2" xfId="0" applyFont="1" applyBorder="1"/>
    <xf numFmtId="0" fontId="5" fillId="0" borderId="0" xfId="0" applyFont="1" applyAlignment="1">
      <alignment wrapText="1"/>
    </xf>
    <xf numFmtId="43" fontId="7" fillId="0" borderId="2" xfId="0" applyNumberFormat="1" applyFont="1" applyBorder="1"/>
    <xf numFmtId="0" fontId="7" fillId="12" borderId="0" xfId="0" applyFont="1" applyFill="1" applyAlignment="1">
      <alignment wrapText="1"/>
    </xf>
    <xf numFmtId="9" fontId="7" fillId="0" borderId="0" xfId="0" applyNumberFormat="1" applyFont="1" applyAlignment="1">
      <alignment horizontal="center" vertical="center"/>
    </xf>
    <xf numFmtId="43" fontId="7" fillId="0" borderId="0" xfId="0" applyNumberFormat="1" applyFont="1"/>
    <xf numFmtId="0" fontId="5" fillId="11" borderId="0" xfId="0" applyFont="1" applyFill="1"/>
    <xf numFmtId="0" fontId="7" fillId="11" borderId="0" xfId="0" applyFont="1" applyFill="1"/>
    <xf numFmtId="0" fontId="7" fillId="11" borderId="0" xfId="0" applyFont="1" applyFill="1" applyAlignment="1">
      <alignment wrapText="1"/>
    </xf>
    <xf numFmtId="0" fontId="2" fillId="0" borderId="5" xfId="0" applyFont="1" applyBorder="1"/>
    <xf numFmtId="0" fontId="2" fillId="0" borderId="6" xfId="0" applyFont="1" applyBorder="1"/>
    <xf numFmtId="3" fontId="2" fillId="0" borderId="6" xfId="0" applyNumberFormat="1" applyFont="1" applyBorder="1"/>
    <xf numFmtId="10" fontId="20" fillId="0" borderId="7" xfId="0" applyNumberFormat="1" applyFont="1" applyBorder="1"/>
    <xf numFmtId="3" fontId="2" fillId="0" borderId="0" xfId="0" applyNumberFormat="1" applyFont="1"/>
    <xf numFmtId="10" fontId="20" fillId="0" borderId="0" xfId="0" applyNumberFormat="1" applyFont="1"/>
    <xf numFmtId="37" fontId="2" fillId="0" borderId="6" xfId="0" applyNumberFormat="1" applyFont="1" applyBorder="1"/>
    <xf numFmtId="0" fontId="21" fillId="0" borderId="5" xfId="0" applyFont="1" applyBorder="1"/>
    <xf numFmtId="0" fontId="22" fillId="0" borderId="6" xfId="0" applyFont="1" applyBorder="1"/>
    <xf numFmtId="3" fontId="21" fillId="0" borderId="6" xfId="0" applyNumberFormat="1" applyFont="1" applyBorder="1"/>
    <xf numFmtId="10" fontId="21" fillId="0" borderId="7" xfId="0" applyNumberFormat="1" applyFont="1" applyBorder="1"/>
    <xf numFmtId="0" fontId="1" fillId="7" borderId="5" xfId="0" applyFont="1" applyFill="1" applyBorder="1"/>
    <xf numFmtId="0" fontId="1" fillId="7" borderId="6" xfId="0" applyFont="1" applyFill="1" applyBorder="1"/>
    <xf numFmtId="165" fontId="1" fillId="7" borderId="6" xfId="3" applyFont="1" applyFill="1" applyBorder="1"/>
    <xf numFmtId="10" fontId="1" fillId="7" borderId="7" xfId="0" applyNumberFormat="1" applyFont="1" applyFill="1" applyBorder="1"/>
    <xf numFmtId="0" fontId="7" fillId="12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2" fillId="0" borderId="6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3" fontId="2" fillId="0" borderId="3" xfId="0" applyNumberFormat="1" applyFont="1" applyBorder="1"/>
    <xf numFmtId="0" fontId="2" fillId="0" borderId="1" xfId="0" applyFont="1" applyBorder="1" applyAlignment="1">
      <alignment horizontal="center" vertical="center"/>
    </xf>
    <xf numFmtId="10" fontId="20" fillId="0" borderId="4" xfId="0" applyNumberFormat="1" applyFont="1" applyBorder="1"/>
    <xf numFmtId="0" fontId="5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5" fontId="0" fillId="10" borderId="1" xfId="3" applyFont="1" applyFill="1" applyBorder="1" applyAlignment="1">
      <alignment horizontal="center" vertical="center"/>
    </xf>
    <xf numFmtId="9" fontId="0" fillId="10" borderId="1" xfId="2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9" fontId="2" fillId="8" borderId="1" xfId="2" applyFont="1" applyFill="1" applyBorder="1" applyAlignment="1">
      <alignment horizontal="center" vertical="center"/>
    </xf>
    <xf numFmtId="0" fontId="2" fillId="8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right" vertical="center"/>
    </xf>
    <xf numFmtId="165" fontId="5" fillId="14" borderId="2" xfId="3" applyFont="1" applyFill="1" applyBorder="1" applyAlignment="1">
      <alignment vertical="center"/>
    </xf>
    <xf numFmtId="10" fontId="5" fillId="14" borderId="2" xfId="2" applyNumberFormat="1" applyFont="1" applyFill="1" applyBorder="1" applyAlignment="1">
      <alignment horizontal="center" vertical="center"/>
    </xf>
    <xf numFmtId="0" fontId="16" fillId="14" borderId="0" xfId="0" applyFont="1" applyFill="1" applyAlignment="1">
      <alignment horizontal="right" vertical="center"/>
    </xf>
    <xf numFmtId="165" fontId="7" fillId="14" borderId="0" xfId="3" applyFont="1" applyFill="1" applyAlignment="1">
      <alignment vertical="center"/>
    </xf>
    <xf numFmtId="10" fontId="7" fillId="14" borderId="0" xfId="2" applyNumberFormat="1" applyFont="1" applyFill="1" applyAlignment="1">
      <alignment horizontal="center"/>
    </xf>
    <xf numFmtId="0" fontId="5" fillId="8" borderId="0" xfId="0" applyFont="1" applyFill="1" applyAlignment="1">
      <alignment horizontal="right" vertical="center"/>
    </xf>
    <xf numFmtId="165" fontId="5" fillId="8" borderId="2" xfId="3" applyFont="1" applyFill="1" applyBorder="1" applyAlignment="1">
      <alignment vertical="center"/>
    </xf>
    <xf numFmtId="10" fontId="5" fillId="8" borderId="2" xfId="2" applyNumberFormat="1" applyFont="1" applyFill="1" applyBorder="1" applyAlignment="1">
      <alignment horizontal="center" vertical="center"/>
    </xf>
    <xf numFmtId="0" fontId="16" fillId="8" borderId="0" xfId="0" applyFont="1" applyFill="1" applyAlignment="1">
      <alignment horizontal="right" vertical="center"/>
    </xf>
    <xf numFmtId="165" fontId="7" fillId="8" borderId="0" xfId="3" applyFont="1" applyFill="1" applyAlignment="1">
      <alignment vertical="center"/>
    </xf>
    <xf numFmtId="10" fontId="7" fillId="8" borderId="0" xfId="2" applyNumberFormat="1" applyFont="1" applyFill="1" applyAlignment="1">
      <alignment horizontal="center"/>
    </xf>
    <xf numFmtId="0" fontId="7" fillId="10" borderId="0" xfId="0" applyFont="1" applyFill="1" applyAlignment="1">
      <alignment vertical="center"/>
    </xf>
    <xf numFmtId="171" fontId="14" fillId="7" borderId="0" xfId="0" applyNumberFormat="1" applyFont="1" applyFill="1" applyAlignment="1">
      <alignment vertical="center"/>
    </xf>
    <xf numFmtId="10" fontId="14" fillId="7" borderId="0" xfId="2" applyNumberFormat="1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6" borderId="0" xfId="0" applyFont="1" applyFill="1"/>
    <xf numFmtId="0" fontId="7" fillId="6" borderId="0" xfId="0" applyFont="1" applyFill="1" applyAlignment="1">
      <alignment wrapText="1"/>
    </xf>
    <xf numFmtId="37" fontId="18" fillId="5" borderId="22" xfId="0" applyNumberFormat="1" applyFont="1" applyFill="1" applyBorder="1" applyAlignment="1">
      <alignment horizontal="center" vertical="center"/>
    </xf>
    <xf numFmtId="37" fontId="18" fillId="5" borderId="23" xfId="0" applyNumberFormat="1" applyFont="1" applyFill="1" applyBorder="1" applyAlignment="1">
      <alignment horizontal="center" vertical="center"/>
    </xf>
    <xf numFmtId="165" fontId="18" fillId="5" borderId="22" xfId="0" applyNumberFormat="1" applyFont="1" applyFill="1" applyBorder="1" applyAlignment="1">
      <alignment horizontal="center" vertical="center"/>
    </xf>
    <xf numFmtId="165" fontId="18" fillId="5" borderId="23" xfId="0" applyNumberFormat="1" applyFont="1" applyFill="1" applyBorder="1" applyAlignment="1">
      <alignment horizontal="center" vertical="center"/>
    </xf>
    <xf numFmtId="171" fontId="18" fillId="5" borderId="22" xfId="0" applyNumberFormat="1" applyFont="1" applyFill="1" applyBorder="1" applyAlignment="1">
      <alignment horizontal="center" vertical="center"/>
    </xf>
    <xf numFmtId="171" fontId="18" fillId="5" borderId="23" xfId="0" applyNumberFormat="1" applyFont="1" applyFill="1" applyBorder="1" applyAlignment="1">
      <alignment horizontal="center" vertical="center"/>
    </xf>
    <xf numFmtId="10" fontId="18" fillId="5" borderId="22" xfId="2" applyNumberFormat="1" applyFont="1" applyFill="1" applyBorder="1" applyAlignment="1">
      <alignment horizontal="center" vertical="center"/>
    </xf>
    <xf numFmtId="10" fontId="18" fillId="5" borderId="23" xfId="2" applyNumberFormat="1" applyFont="1" applyFill="1" applyBorder="1" applyAlignment="1">
      <alignment horizontal="center" vertical="center"/>
    </xf>
    <xf numFmtId="165" fontId="11" fillId="5" borderId="22" xfId="0" applyNumberFormat="1" applyFont="1" applyFill="1" applyBorder="1" applyAlignment="1">
      <alignment horizontal="center" vertical="center"/>
    </xf>
    <xf numFmtId="165" fontId="11" fillId="5" borderId="23" xfId="0" applyNumberFormat="1" applyFont="1" applyFill="1" applyBorder="1" applyAlignment="1">
      <alignment horizontal="center" vertical="center"/>
    </xf>
    <xf numFmtId="171" fontId="11" fillId="5" borderId="22" xfId="0" applyNumberFormat="1" applyFont="1" applyFill="1" applyBorder="1" applyAlignment="1">
      <alignment horizontal="center" vertical="center"/>
    </xf>
    <xf numFmtId="171" fontId="11" fillId="5" borderId="23" xfId="0" applyNumberFormat="1" applyFont="1" applyFill="1" applyBorder="1" applyAlignment="1">
      <alignment horizontal="center" vertical="center"/>
    </xf>
    <xf numFmtId="10" fontId="11" fillId="5" borderId="22" xfId="2" applyNumberFormat="1" applyFont="1" applyFill="1" applyBorder="1" applyAlignment="1">
      <alignment horizontal="center" vertical="center"/>
    </xf>
    <xf numFmtId="10" fontId="11" fillId="5" borderId="23" xfId="2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7" fillId="10" borderId="0" xfId="0" applyFont="1" applyFill="1"/>
    <xf numFmtId="0" fontId="14" fillId="7" borderId="0" xfId="0" applyFont="1" applyFill="1" applyAlignment="1">
      <alignment vertical="center"/>
    </xf>
    <xf numFmtId="0" fontId="14" fillId="7" borderId="0" xfId="0" applyFont="1" applyFill="1"/>
    <xf numFmtId="0" fontId="24" fillId="7" borderId="0" xfId="0" applyFont="1" applyFill="1" applyAlignment="1">
      <alignment vertical="center" wrapText="1"/>
    </xf>
    <xf numFmtId="0" fontId="24" fillId="7" borderId="0" xfId="0" applyFont="1" applyFill="1" applyAlignment="1">
      <alignment vertical="center"/>
    </xf>
    <xf numFmtId="0" fontId="30" fillId="7" borderId="0" xfId="0" applyFont="1" applyFill="1" applyAlignment="1">
      <alignment vertical="center"/>
    </xf>
    <xf numFmtId="0" fontId="17" fillId="7" borderId="0" xfId="0" applyFont="1" applyFill="1"/>
    <xf numFmtId="9" fontId="29" fillId="14" borderId="0" xfId="2" applyFont="1" applyFill="1" applyAlignment="1">
      <alignment vertical="center"/>
    </xf>
    <xf numFmtId="9" fontId="29" fillId="8" borderId="0" xfId="2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1" fillId="5" borderId="21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2" fillId="7" borderId="21" xfId="0" applyFont="1" applyFill="1" applyBorder="1"/>
    <xf numFmtId="0" fontId="3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wrapText="1"/>
    </xf>
    <xf numFmtId="3" fontId="27" fillId="0" borderId="0" xfId="0" applyNumberFormat="1" applyFont="1" applyAlignment="1">
      <alignment horizontal="center" vertical="center"/>
    </xf>
    <xf numFmtId="173" fontId="27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/>
    </xf>
    <xf numFmtId="10" fontId="27" fillId="0" borderId="2" xfId="0" applyNumberFormat="1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7" fillId="0" borderId="27" xfId="0" applyFont="1" applyBorder="1" applyAlignment="1">
      <alignment horizontal="center" wrapText="1"/>
    </xf>
    <xf numFmtId="0" fontId="27" fillId="0" borderId="27" xfId="0" applyFont="1" applyBorder="1" applyAlignment="1">
      <alignment horizontal="center" vertical="center"/>
    </xf>
    <xf numFmtId="3" fontId="27" fillId="0" borderId="27" xfId="0" applyNumberFormat="1" applyFont="1" applyBorder="1" applyAlignment="1">
      <alignment horizontal="center"/>
    </xf>
    <xf numFmtId="10" fontId="27" fillId="0" borderId="27" xfId="0" applyNumberFormat="1" applyFont="1" applyBorder="1" applyAlignment="1">
      <alignment horizontal="center"/>
    </xf>
    <xf numFmtId="0" fontId="27" fillId="0" borderId="27" xfId="0" applyFont="1" applyBorder="1" applyAlignment="1">
      <alignment horizontal="center"/>
    </xf>
    <xf numFmtId="0" fontId="27" fillId="0" borderId="29" xfId="0" applyFont="1" applyBorder="1" applyAlignment="1">
      <alignment horizontal="center" wrapText="1"/>
    </xf>
    <xf numFmtId="0" fontId="27" fillId="0" borderId="29" xfId="0" applyFont="1" applyBorder="1" applyAlignment="1">
      <alignment horizontal="center" vertical="center"/>
    </xf>
    <xf numFmtId="3" fontId="27" fillId="0" borderId="29" xfId="0" applyNumberFormat="1" applyFont="1" applyBorder="1" applyAlignment="1">
      <alignment horizontal="center"/>
    </xf>
    <xf numFmtId="10" fontId="27" fillId="0" borderId="29" xfId="0" applyNumberFormat="1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31" fillId="9" borderId="0" xfId="0" applyFont="1" applyFill="1" applyAlignment="1">
      <alignment horizontal="center"/>
    </xf>
    <xf numFmtId="0" fontId="31" fillId="9" borderId="0" xfId="0" applyFont="1" applyFill="1"/>
    <xf numFmtId="0" fontId="27" fillId="12" borderId="0" xfId="0" applyFont="1" applyFill="1" applyAlignment="1">
      <alignment horizontal="center"/>
    </xf>
    <xf numFmtId="0" fontId="34" fillId="1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/>
    </xf>
    <xf numFmtId="3" fontId="34" fillId="12" borderId="0" xfId="0" applyNumberFormat="1" applyFont="1" applyFill="1" applyAlignment="1">
      <alignment horizontal="center"/>
    </xf>
    <xf numFmtId="10" fontId="34" fillId="12" borderId="0" xfId="0" applyNumberFormat="1" applyFont="1" applyFill="1" applyAlignment="1">
      <alignment horizontal="center"/>
    </xf>
    <xf numFmtId="0" fontId="34" fillId="0" borderId="27" xfId="0" applyFont="1" applyBorder="1" applyAlignment="1">
      <alignment horizontal="center" wrapText="1"/>
    </xf>
    <xf numFmtId="0" fontId="34" fillId="0" borderId="29" xfId="0" applyFont="1" applyBorder="1" applyAlignment="1">
      <alignment horizontal="center" wrapText="1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3" fontId="34" fillId="0" borderId="0" xfId="0" applyNumberFormat="1" applyFont="1" applyAlignment="1">
      <alignment horizontal="center"/>
    </xf>
    <xf numFmtId="10" fontId="34" fillId="0" borderId="0" xfId="0" applyNumberFormat="1" applyFont="1" applyAlignment="1">
      <alignment horizontal="center"/>
    </xf>
    <xf numFmtId="0" fontId="34" fillId="0" borderId="0" xfId="0" applyFont="1" applyAlignment="1">
      <alignment horizontal="center" wrapText="1"/>
    </xf>
    <xf numFmtId="0" fontId="27" fillId="0" borderId="2" xfId="0" applyFont="1" applyBorder="1" applyAlignment="1">
      <alignment horizontal="center" wrapText="1"/>
    </xf>
    <xf numFmtId="0" fontId="27" fillId="0" borderId="2" xfId="0" applyFont="1" applyBorder="1" applyAlignment="1">
      <alignment horizontal="center" vertical="center"/>
    </xf>
    <xf numFmtId="0" fontId="35" fillId="16" borderId="0" xfId="0" applyFont="1" applyFill="1" applyAlignment="1">
      <alignment horizontal="center"/>
    </xf>
    <xf numFmtId="0" fontId="35" fillId="17" borderId="0" xfId="0" applyFont="1" applyFill="1" applyAlignment="1">
      <alignment horizontal="center"/>
    </xf>
    <xf numFmtId="0" fontId="31" fillId="18" borderId="0" xfId="0" applyFont="1" applyFill="1"/>
    <xf numFmtId="0" fontId="15" fillId="18" borderId="0" xfId="0" applyFont="1" applyFill="1"/>
    <xf numFmtId="0" fontId="2" fillId="8" borderId="1" xfId="0" applyFont="1" applyFill="1" applyBorder="1" applyAlignment="1">
      <alignment horizontal="center"/>
    </xf>
    <xf numFmtId="0" fontId="31" fillId="18" borderId="0" xfId="0" applyFont="1" applyFill="1" applyAlignment="1">
      <alignment horizontal="center"/>
    </xf>
    <xf numFmtId="0" fontId="15" fillId="18" borderId="0" xfId="0" applyFont="1" applyFill="1" applyAlignment="1">
      <alignment horizontal="center"/>
    </xf>
    <xf numFmtId="10" fontId="9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1" fillId="7" borderId="6" xfId="0" applyFont="1" applyFill="1" applyBorder="1" applyAlignment="1">
      <alignment horizontal="center"/>
    </xf>
    <xf numFmtId="165" fontId="1" fillId="7" borderId="6" xfId="3" applyFont="1" applyFill="1" applyBorder="1" applyAlignment="1">
      <alignment horizontal="center"/>
    </xf>
    <xf numFmtId="10" fontId="1" fillId="7" borderId="7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43" fontId="0" fillId="0" borderId="0" xfId="0" applyNumberFormat="1" applyAlignment="1">
      <alignment horizontal="center"/>
    </xf>
    <xf numFmtId="9" fontId="27" fillId="0" borderId="27" xfId="0" applyNumberFormat="1" applyFont="1" applyBorder="1" applyAlignment="1">
      <alignment horizontal="center" vertical="center"/>
    </xf>
    <xf numFmtId="9" fontId="27" fillId="0" borderId="29" xfId="0" applyNumberFormat="1" applyFont="1" applyBorder="1" applyAlignment="1">
      <alignment horizontal="center" vertical="center"/>
    </xf>
    <xf numFmtId="0" fontId="35" fillId="17" borderId="0" xfId="0" applyFont="1" applyFill="1" applyAlignment="1">
      <alignment horizontal="center" vertical="center"/>
    </xf>
    <xf numFmtId="10" fontId="35" fillId="17" borderId="0" xfId="0" applyNumberFormat="1" applyFont="1" applyFill="1" applyAlignment="1">
      <alignment horizontal="center"/>
    </xf>
    <xf numFmtId="0" fontId="35" fillId="16" borderId="0" xfId="0" applyFont="1" applyFill="1" applyAlignment="1">
      <alignment horizontal="center" vertical="center"/>
    </xf>
    <xf numFmtId="10" fontId="35" fillId="16" borderId="0" xfId="0" applyNumberFormat="1" applyFont="1" applyFill="1" applyAlignment="1">
      <alignment horizontal="center"/>
    </xf>
    <xf numFmtId="0" fontId="36" fillId="0" borderId="0" xfId="0" applyFont="1" applyAlignment="1">
      <alignment horizontal="center"/>
    </xf>
    <xf numFmtId="165" fontId="27" fillId="0" borderId="0" xfId="3" applyFont="1" applyFill="1" applyAlignment="1">
      <alignment horizontal="center"/>
    </xf>
    <xf numFmtId="165" fontId="27" fillId="0" borderId="0" xfId="3" applyFont="1" applyFill="1" applyBorder="1" applyAlignment="1">
      <alignment horizontal="center"/>
    </xf>
    <xf numFmtId="165" fontId="27" fillId="0" borderId="27" xfId="3" applyFont="1" applyFill="1" applyBorder="1" applyAlignment="1">
      <alignment horizontal="center"/>
    </xf>
    <xf numFmtId="165" fontId="27" fillId="12" borderId="0" xfId="3" applyFont="1" applyFill="1" applyAlignment="1">
      <alignment horizontal="center"/>
    </xf>
    <xf numFmtId="165" fontId="27" fillId="0" borderId="29" xfId="3" applyFont="1" applyFill="1" applyBorder="1" applyAlignment="1">
      <alignment horizontal="center"/>
    </xf>
    <xf numFmtId="165" fontId="34" fillId="0" borderId="0" xfId="3" applyFont="1" applyFill="1" applyAlignment="1">
      <alignment horizontal="center"/>
    </xf>
    <xf numFmtId="165" fontId="27" fillId="0" borderId="2" xfId="3" applyFont="1" applyFill="1" applyBorder="1" applyAlignment="1">
      <alignment horizontal="center"/>
    </xf>
    <xf numFmtId="165" fontId="35" fillId="16" borderId="0" xfId="3" applyFont="1" applyFill="1" applyAlignment="1">
      <alignment horizontal="center"/>
    </xf>
    <xf numFmtId="165" fontId="15" fillId="18" borderId="0" xfId="3" applyFont="1" applyFill="1" applyAlignment="1">
      <alignment horizontal="center"/>
    </xf>
    <xf numFmtId="165" fontId="31" fillId="18" borderId="0" xfId="3" applyFont="1" applyFill="1" applyAlignment="1">
      <alignment horizontal="center"/>
    </xf>
    <xf numFmtId="165" fontId="15" fillId="18" borderId="0" xfId="3" applyFont="1" applyFill="1" applyBorder="1" applyAlignment="1">
      <alignment horizontal="center"/>
    </xf>
    <xf numFmtId="165" fontId="35" fillId="17" borderId="0" xfId="3" applyFont="1" applyFill="1" applyAlignment="1">
      <alignment horizontal="center"/>
    </xf>
    <xf numFmtId="0" fontId="27" fillId="7" borderId="0" xfId="0" applyFont="1" applyFill="1" applyAlignment="1">
      <alignment horizontal="center" vertical="center"/>
    </xf>
    <xf numFmtId="165" fontId="27" fillId="7" borderId="0" xfId="3" applyFont="1" applyFill="1" applyAlignment="1">
      <alignment horizontal="center"/>
    </xf>
    <xf numFmtId="10" fontId="27" fillId="7" borderId="0" xfId="0" applyNumberFormat="1" applyFont="1" applyFill="1" applyAlignment="1">
      <alignment horizontal="center"/>
    </xf>
    <xf numFmtId="0" fontId="27" fillId="7" borderId="0" xfId="0" applyFont="1" applyFill="1" applyAlignment="1">
      <alignment horizontal="center"/>
    </xf>
    <xf numFmtId="0" fontId="35" fillId="7" borderId="0" xfId="0" applyFont="1" applyFill="1" applyAlignment="1">
      <alignment horizontal="center" vertical="center"/>
    </xf>
    <xf numFmtId="165" fontId="35" fillId="7" borderId="0" xfId="3" applyFont="1" applyFill="1" applyAlignment="1">
      <alignment horizontal="center"/>
    </xf>
    <xf numFmtId="10" fontId="35" fillId="7" borderId="0" xfId="0" applyNumberFormat="1" applyFont="1" applyFill="1" applyAlignment="1">
      <alignment horizontal="center"/>
    </xf>
    <xf numFmtId="0" fontId="35" fillId="7" borderId="0" xfId="0" applyFont="1" applyFill="1" applyAlignment="1">
      <alignment horizontal="center"/>
    </xf>
    <xf numFmtId="9" fontId="37" fillId="9" borderId="0" xfId="0" applyNumberFormat="1" applyFont="1" applyFill="1" applyAlignment="1">
      <alignment horizontal="center" vertical="center"/>
    </xf>
    <xf numFmtId="165" fontId="37" fillId="9" borderId="0" xfId="3" applyFont="1" applyFill="1" applyAlignment="1">
      <alignment horizontal="center"/>
    </xf>
    <xf numFmtId="10" fontId="37" fillId="9" borderId="0" xfId="0" applyNumberFormat="1" applyFont="1" applyFill="1" applyAlignment="1">
      <alignment horizontal="center"/>
    </xf>
    <xf numFmtId="0" fontId="37" fillId="9" borderId="0" xfId="0" applyFont="1" applyFill="1" applyAlignment="1">
      <alignment horizontal="center"/>
    </xf>
    <xf numFmtId="0" fontId="27" fillId="7" borderId="0" xfId="0" applyFont="1" applyFill="1" applyAlignment="1">
      <alignment horizontal="center" wrapText="1"/>
    </xf>
    <xf numFmtId="0" fontId="6" fillId="0" borderId="0" xfId="0" applyFont="1" applyAlignment="1">
      <alignment vertical="center"/>
    </xf>
    <xf numFmtId="0" fontId="6" fillId="0" borderId="21" xfId="0" applyFont="1" applyBorder="1" applyAlignment="1">
      <alignment vertical="center"/>
    </xf>
    <xf numFmtId="10" fontId="0" fillId="0" borderId="0" xfId="0" applyNumberFormat="1" applyAlignment="1">
      <alignment horizontal="center"/>
    </xf>
    <xf numFmtId="3" fontId="0" fillId="0" borderId="0" xfId="0" applyNumberFormat="1"/>
    <xf numFmtId="174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1" fillId="19" borderId="31" xfId="0" applyFont="1" applyFill="1" applyBorder="1" applyAlignment="1">
      <alignment horizontal="right"/>
    </xf>
    <xf numFmtId="3" fontId="0" fillId="20" borderId="31" xfId="0" applyNumberFormat="1" applyFill="1" applyBorder="1" applyAlignment="1">
      <alignment horizontal="center"/>
    </xf>
    <xf numFmtId="0" fontId="1" fillId="14" borderId="31" xfId="0" applyFont="1" applyFill="1" applyBorder="1" applyAlignment="1">
      <alignment horizontal="right"/>
    </xf>
    <xf numFmtId="3" fontId="0" fillId="14" borderId="31" xfId="0" applyNumberFormat="1" applyFill="1" applyBorder="1" applyAlignment="1">
      <alignment horizontal="center"/>
    </xf>
    <xf numFmtId="0" fontId="5" fillId="12" borderId="0" xfId="0" applyFont="1" applyFill="1" applyAlignment="1">
      <alignment horizontal="right"/>
    </xf>
    <xf numFmtId="0" fontId="5" fillId="12" borderId="26" xfId="0" applyFont="1" applyFill="1" applyBorder="1" applyAlignment="1">
      <alignment horizontal="right"/>
    </xf>
    <xf numFmtId="0" fontId="2" fillId="8" borderId="1" xfId="0" applyFont="1" applyFill="1" applyBorder="1" applyAlignment="1">
      <alignment horizontal="left" vertical="center"/>
    </xf>
    <xf numFmtId="165" fontId="0" fillId="10" borderId="1" xfId="3" applyFont="1" applyFill="1" applyBorder="1" applyAlignment="1">
      <alignment horizontal="left" vertical="center"/>
    </xf>
    <xf numFmtId="165" fontId="2" fillId="8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wrapText="1"/>
    </xf>
    <xf numFmtId="0" fontId="27" fillId="0" borderId="0" xfId="0" applyFont="1" applyAlignment="1">
      <alignment horizontal="center" vertical="center" wrapText="1"/>
    </xf>
    <xf numFmtId="0" fontId="28" fillId="10" borderId="0" xfId="0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/>
    </xf>
    <xf numFmtId="3" fontId="27" fillId="10" borderId="0" xfId="0" applyNumberFormat="1" applyFont="1" applyFill="1" applyAlignment="1">
      <alignment horizontal="center" vertical="center"/>
    </xf>
    <xf numFmtId="9" fontId="27" fillId="10" borderId="0" xfId="2" applyFont="1" applyFill="1" applyAlignment="1">
      <alignment horizontal="center" vertical="center"/>
    </xf>
    <xf numFmtId="0" fontId="28" fillId="15" borderId="0" xfId="0" applyFont="1" applyFill="1" applyAlignment="1">
      <alignment horizontal="center" vertical="center" wrapText="1"/>
    </xf>
    <xf numFmtId="165" fontId="27" fillId="15" borderId="0" xfId="3" applyFont="1" applyFill="1" applyAlignment="1">
      <alignment horizontal="center" vertical="center"/>
    </xf>
    <xf numFmtId="165" fontId="27" fillId="15" borderId="0" xfId="3" applyFont="1" applyFill="1" applyAlignment="1">
      <alignment horizontal="center"/>
    </xf>
    <xf numFmtId="165" fontId="27" fillId="15" borderId="0" xfId="0" applyNumberFormat="1" applyFont="1" applyFill="1" applyAlignment="1">
      <alignment horizontal="center"/>
    </xf>
    <xf numFmtId="165" fontId="27" fillId="10" borderId="0" xfId="3" applyFont="1" applyFill="1" applyAlignment="1">
      <alignment horizontal="center"/>
    </xf>
    <xf numFmtId="164" fontId="27" fillId="15" borderId="0" xfId="0" applyNumberFormat="1" applyFont="1" applyFill="1" applyAlignment="1">
      <alignment horizontal="center"/>
    </xf>
    <xf numFmtId="0" fontId="0" fillId="4" borderId="0" xfId="0" applyFill="1"/>
    <xf numFmtId="0" fontId="31" fillId="22" borderId="0" xfId="0" applyFont="1" applyFill="1"/>
    <xf numFmtId="0" fontId="40" fillId="0" borderId="0" xfId="0" applyFont="1" applyAlignment="1">
      <alignment horizontal="right"/>
    </xf>
    <xf numFmtId="0" fontId="32" fillId="0" borderId="0" xfId="0" applyFont="1"/>
    <xf numFmtId="0" fontId="1" fillId="4" borderId="0" xfId="0" applyFont="1" applyFill="1"/>
    <xf numFmtId="14" fontId="0" fillId="0" borderId="0" xfId="0" applyNumberFormat="1"/>
    <xf numFmtId="0" fontId="32" fillId="4" borderId="0" xfId="0" applyFont="1" applyFill="1"/>
    <xf numFmtId="0" fontId="41" fillId="0" borderId="0" xfId="0" applyFont="1" applyAlignment="1">
      <alignment horizontal="right"/>
    </xf>
    <xf numFmtId="0" fontId="32" fillId="0" borderId="25" xfId="0" applyFont="1" applyBorder="1"/>
    <xf numFmtId="0" fontId="32" fillId="0" borderId="8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41" fillId="0" borderId="0" xfId="0" applyFont="1" applyAlignment="1">
      <alignment horizontal="right" vertical="center" wrapText="1"/>
    </xf>
    <xf numFmtId="0" fontId="32" fillId="0" borderId="0" xfId="0" applyFont="1" applyAlignment="1">
      <alignment vertical="center" wrapText="1"/>
    </xf>
    <xf numFmtId="0" fontId="32" fillId="0" borderId="0" xfId="0" applyFont="1" applyAlignment="1">
      <alignment horizontal="left" vertical="center"/>
    </xf>
    <xf numFmtId="0" fontId="38" fillId="23" borderId="33" xfId="0" applyFont="1" applyFill="1" applyBorder="1" applyAlignment="1">
      <alignment horizontal="center" vertical="center" wrapText="1"/>
    </xf>
    <xf numFmtId="0" fontId="32" fillId="0" borderId="35" xfId="0" applyFont="1" applyBorder="1" applyAlignment="1">
      <alignment vertical="center" wrapText="1"/>
    </xf>
    <xf numFmtId="175" fontId="32" fillId="0" borderId="0" xfId="0" applyNumberFormat="1" applyFont="1" applyAlignment="1">
      <alignment vertical="center" wrapText="1"/>
    </xf>
    <xf numFmtId="0" fontId="32" fillId="0" borderId="24" xfId="0" applyFont="1" applyBorder="1" applyAlignment="1">
      <alignment vertical="center" wrapTex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 wrapText="1"/>
    </xf>
    <xf numFmtId="0" fontId="32" fillId="0" borderId="8" xfId="0" pivotButton="1" applyFont="1" applyBorder="1" applyAlignment="1">
      <alignment horizontal="center" vertical="center" wrapText="1"/>
    </xf>
    <xf numFmtId="0" fontId="32" fillId="0" borderId="8" xfId="0" pivotButton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 wrapText="1"/>
    </xf>
    <xf numFmtId="175" fontId="32" fillId="0" borderId="8" xfId="0" applyNumberFormat="1" applyFont="1" applyBorder="1" applyAlignment="1">
      <alignment vertical="center" wrapText="1"/>
    </xf>
    <xf numFmtId="175" fontId="32" fillId="0" borderId="8" xfId="0" applyNumberFormat="1" applyFont="1" applyBorder="1"/>
    <xf numFmtId="9" fontId="32" fillId="0" borderId="8" xfId="0" applyNumberFormat="1" applyFont="1" applyBorder="1" applyAlignment="1">
      <alignment horizontal="center"/>
    </xf>
    <xf numFmtId="0" fontId="31" fillId="13" borderId="36" xfId="0" applyFont="1" applyFill="1" applyBorder="1"/>
    <xf numFmtId="0" fontId="32" fillId="0" borderId="37" xfId="0" applyFont="1" applyBorder="1"/>
    <xf numFmtId="175" fontId="1" fillId="13" borderId="8" xfId="0" applyNumberFormat="1" applyFont="1" applyFill="1" applyBorder="1"/>
    <xf numFmtId="0" fontId="39" fillId="0" borderId="0" xfId="0" applyFont="1"/>
    <xf numFmtId="0" fontId="1" fillId="13" borderId="38" xfId="0" applyFont="1" applyFill="1" applyBorder="1"/>
    <xf numFmtId="0" fontId="1" fillId="13" borderId="39" xfId="0" applyFont="1" applyFill="1" applyBorder="1"/>
    <xf numFmtId="0" fontId="1" fillId="13" borderId="40" xfId="0" applyFont="1" applyFill="1" applyBorder="1"/>
    <xf numFmtId="175" fontId="1" fillId="13" borderId="41" xfId="0" applyNumberFormat="1" applyFont="1" applyFill="1" applyBorder="1"/>
    <xf numFmtId="175" fontId="1" fillId="13" borderId="42" xfId="0" applyNumberFormat="1" applyFont="1" applyFill="1" applyBorder="1"/>
    <xf numFmtId="175" fontId="1" fillId="13" borderId="43" xfId="0" applyNumberFormat="1" applyFont="1" applyFill="1" applyBorder="1"/>
    <xf numFmtId="0" fontId="38" fillId="23" borderId="34" xfId="0" applyFont="1" applyFill="1" applyBorder="1" applyAlignment="1">
      <alignment vertical="center"/>
    </xf>
    <xf numFmtId="3" fontId="32" fillId="0" borderId="32" xfId="0" applyNumberFormat="1" applyFont="1" applyBorder="1" applyAlignment="1">
      <alignment vertical="center"/>
    </xf>
    <xf numFmtId="0" fontId="40" fillId="0" borderId="0" xfId="0" applyFont="1"/>
    <xf numFmtId="3" fontId="0" fillId="0" borderId="0" xfId="0" applyNumberFormat="1" applyAlignment="1">
      <alignment vertical="center"/>
    </xf>
    <xf numFmtId="0" fontId="32" fillId="0" borderId="38" xfId="0" pivotButton="1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175" fontId="32" fillId="0" borderId="44" xfId="0" applyNumberFormat="1" applyFont="1" applyBorder="1" applyAlignment="1">
      <alignment horizontal="center" vertical="center" wrapText="1"/>
    </xf>
    <xf numFmtId="0" fontId="32" fillId="0" borderId="8" xfId="0" pivotButton="1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0" fillId="0" borderId="0" xfId="2" applyFont="1" applyFill="1" applyBorder="1" applyAlignment="1">
      <alignment horizontal="center" vertical="center"/>
    </xf>
    <xf numFmtId="9" fontId="2" fillId="0" borderId="0" xfId="2" applyFont="1" applyFill="1" applyBorder="1" applyAlignment="1">
      <alignment horizontal="center" vertical="center"/>
    </xf>
    <xf numFmtId="165" fontId="7" fillId="0" borderId="0" xfId="0" applyNumberFormat="1" applyFont="1" applyAlignment="1">
      <alignment horizontal="left"/>
    </xf>
    <xf numFmtId="0" fontId="1" fillId="24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left" vertical="center" wrapText="1"/>
    </xf>
    <xf numFmtId="0" fontId="42" fillId="26" borderId="11" xfId="0" applyFont="1" applyFill="1" applyBorder="1" applyAlignment="1">
      <alignment horizontal="center" vertical="center"/>
    </xf>
    <xf numFmtId="0" fontId="42" fillId="27" borderId="1" xfId="0" applyFont="1" applyFill="1" applyBorder="1" applyAlignment="1">
      <alignment horizontal="center" vertical="center"/>
    </xf>
    <xf numFmtId="0" fontId="43" fillId="28" borderId="1" xfId="0" applyFont="1" applyFill="1" applyBorder="1" applyAlignment="1">
      <alignment horizontal="center" vertical="center"/>
    </xf>
    <xf numFmtId="0" fontId="43" fillId="29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wrapText="1"/>
    </xf>
    <xf numFmtId="1" fontId="0" fillId="25" borderId="1" xfId="0" applyNumberFormat="1" applyFill="1" applyBorder="1" applyAlignment="1">
      <alignment horizontal="center" vertical="center" wrapText="1"/>
    </xf>
    <xf numFmtId="0" fontId="44" fillId="30" borderId="1" xfId="0" applyFont="1" applyFill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2" fillId="26" borderId="1" xfId="0" applyFont="1" applyFill="1" applyBorder="1" applyAlignment="1">
      <alignment horizontal="center" vertical="center"/>
    </xf>
    <xf numFmtId="0" fontId="44" fillId="31" borderId="1" xfId="0" applyFont="1" applyFill="1" applyBorder="1" applyAlignment="1">
      <alignment horizontal="center" vertical="center"/>
    </xf>
    <xf numFmtId="0" fontId="45" fillId="26" borderId="1" xfId="0" applyFont="1" applyFill="1" applyBorder="1" applyAlignment="1">
      <alignment horizontal="center" vertical="center"/>
    </xf>
    <xf numFmtId="0" fontId="44" fillId="26" borderId="1" xfId="0" applyFont="1" applyFill="1" applyBorder="1" applyAlignment="1">
      <alignment horizontal="center" vertical="center"/>
    </xf>
    <xf numFmtId="0" fontId="45" fillId="26" borderId="11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3" fillId="28" borderId="0" xfId="0" applyFont="1" applyFill="1" applyAlignment="1">
      <alignment horizontal="center" vertical="center"/>
    </xf>
    <xf numFmtId="3" fontId="19" fillId="10" borderId="1" xfId="0" quotePrefix="1" applyNumberFormat="1" applyFont="1" applyFill="1" applyBorder="1" applyAlignment="1">
      <alignment horizontal="left"/>
    </xf>
    <xf numFmtId="176" fontId="7" fillId="10" borderId="1" xfId="0" applyNumberFormat="1" applyFont="1" applyFill="1" applyBorder="1" applyAlignment="1">
      <alignment horizontal="left"/>
    </xf>
    <xf numFmtId="0" fontId="46" fillId="31" borderId="0" xfId="0" applyFont="1" applyFill="1"/>
    <xf numFmtId="0" fontId="0" fillId="31" borderId="0" xfId="0" applyFill="1"/>
    <xf numFmtId="0" fontId="2" fillId="8" borderId="0" xfId="0" applyFont="1" applyFill="1"/>
    <xf numFmtId="0" fontId="0" fillId="8" borderId="0" xfId="0" applyFill="1"/>
    <xf numFmtId="0" fontId="0" fillId="31" borderId="1" xfId="0" applyFill="1" applyBorder="1" applyAlignment="1">
      <alignment horizontal="center"/>
    </xf>
    <xf numFmtId="0" fontId="0" fillId="31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31" borderId="1" xfId="0" applyFill="1" applyBorder="1" applyAlignment="1">
      <alignment horizontal="center" wrapText="1"/>
    </xf>
    <xf numFmtId="0" fontId="0" fillId="31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32" borderId="1" xfId="0" applyFill="1" applyBorder="1" applyAlignment="1">
      <alignment horizontal="center" vertical="center" wrapText="1"/>
    </xf>
    <xf numFmtId="9" fontId="0" fillId="31" borderId="1" xfId="0" applyNumberFormat="1" applyFill="1" applyBorder="1" applyAlignment="1">
      <alignment horizontal="center"/>
    </xf>
    <xf numFmtId="171" fontId="0" fillId="31" borderId="1" xfId="3" applyNumberFormat="1" applyFont="1" applyFill="1" applyBorder="1" applyAlignment="1">
      <alignment horizontal="center"/>
    </xf>
    <xf numFmtId="165" fontId="0" fillId="31" borderId="1" xfId="3" applyFont="1" applyFill="1" applyBorder="1" applyAlignment="1">
      <alignment horizontal="center"/>
    </xf>
    <xf numFmtId="164" fontId="0" fillId="31" borderId="1" xfId="3" applyNumberFormat="1" applyFont="1" applyFill="1" applyBorder="1" applyAlignment="1">
      <alignment horizontal="center"/>
    </xf>
    <xf numFmtId="165" fontId="0" fillId="31" borderId="1" xfId="0" applyNumberFormat="1" applyFill="1" applyBorder="1"/>
    <xf numFmtId="171" fontId="0" fillId="6" borderId="1" xfId="0" applyNumberFormat="1" applyFill="1" applyBorder="1"/>
    <xf numFmtId="9" fontId="0" fillId="31" borderId="1" xfId="2" applyFont="1" applyFill="1" applyBorder="1"/>
    <xf numFmtId="171" fontId="0" fillId="31" borderId="1" xfId="0" applyNumberFormat="1" applyFill="1" applyBorder="1"/>
    <xf numFmtId="171" fontId="0" fillId="8" borderId="1" xfId="0" applyNumberFormat="1" applyFill="1" applyBorder="1"/>
    <xf numFmtId="9" fontId="0" fillId="32" borderId="1" xfId="2" applyFont="1" applyFill="1" applyBorder="1" applyAlignment="1">
      <alignment horizontal="center"/>
    </xf>
    <xf numFmtId="165" fontId="0" fillId="31" borderId="0" xfId="0" applyNumberFormat="1" applyFill="1"/>
    <xf numFmtId="9" fontId="0" fillId="31" borderId="10" xfId="0" applyNumberFormat="1" applyFill="1" applyBorder="1" applyAlignment="1">
      <alignment horizontal="center"/>
    </xf>
    <xf numFmtId="177" fontId="0" fillId="31" borderId="1" xfId="12" applyNumberFormat="1" applyFont="1" applyFill="1" applyBorder="1" applyAlignment="1">
      <alignment horizontal="center"/>
    </xf>
    <xf numFmtId="178" fontId="0" fillId="31" borderId="1" xfId="0" applyNumberFormat="1" applyFill="1" applyBorder="1"/>
    <xf numFmtId="165" fontId="0" fillId="6" borderId="1" xfId="0" applyNumberFormat="1" applyFill="1" applyBorder="1"/>
    <xf numFmtId="171" fontId="0" fillId="32" borderId="1" xfId="0" applyNumberFormat="1" applyFill="1" applyBorder="1"/>
    <xf numFmtId="0" fontId="1" fillId="13" borderId="0" xfId="0" applyFont="1" applyFill="1"/>
    <xf numFmtId="0" fontId="31" fillId="13" borderId="0" xfId="0" applyFont="1" applyFill="1"/>
    <xf numFmtId="171" fontId="0" fillId="31" borderId="0" xfId="0" applyNumberFormat="1" applyFill="1"/>
    <xf numFmtId="9" fontId="19" fillId="10" borderId="1" xfId="2" applyFont="1" applyFill="1" applyBorder="1" applyAlignment="1">
      <alignment horizontal="left"/>
    </xf>
    <xf numFmtId="9" fontId="27" fillId="15" borderId="0" xfId="2" applyFont="1" applyFill="1" applyAlignment="1">
      <alignment horizontal="center"/>
    </xf>
    <xf numFmtId="165" fontId="7" fillId="0" borderId="0" xfId="3" applyFont="1" applyAlignment="1">
      <alignment horizontal="center"/>
    </xf>
    <xf numFmtId="169" fontId="0" fillId="0" borderId="0" xfId="0" applyNumberFormat="1" applyAlignment="1">
      <alignment horizontal="center"/>
    </xf>
    <xf numFmtId="43" fontId="7" fillId="0" borderId="0" xfId="0" applyNumberFormat="1" applyFont="1" applyAlignment="1">
      <alignment horizontal="center"/>
    </xf>
    <xf numFmtId="43" fontId="7" fillId="0" borderId="0" xfId="0" applyNumberFormat="1" applyFont="1" applyAlignment="1">
      <alignment horizontal="left"/>
    </xf>
    <xf numFmtId="0" fontId="27" fillId="10" borderId="0" xfId="0" applyFont="1" applyFill="1" applyAlignment="1">
      <alignment horizontal="left" vertical="center" wrapText="1"/>
    </xf>
    <xf numFmtId="0" fontId="32" fillId="0" borderId="8" xfId="0" applyFont="1" applyBorder="1" applyAlignment="1"/>
    <xf numFmtId="165" fontId="27" fillId="15" borderId="0" xfId="3" applyNumberFormat="1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35" fillId="7" borderId="0" xfId="0" applyFont="1" applyFill="1" applyAlignment="1">
      <alignment horizontal="center" wrapText="1"/>
    </xf>
    <xf numFmtId="0" fontId="34" fillId="0" borderId="0" xfId="0" applyFont="1" applyAlignment="1">
      <alignment horizontal="center" wrapText="1"/>
    </xf>
    <xf numFmtId="0" fontId="35" fillId="17" borderId="0" xfId="0" applyFont="1" applyFill="1" applyAlignment="1">
      <alignment horizontal="center"/>
    </xf>
    <xf numFmtId="0" fontId="37" fillId="9" borderId="0" xfId="0" applyFont="1" applyFill="1" applyAlignment="1">
      <alignment horizontal="right" wrapText="1"/>
    </xf>
    <xf numFmtId="0" fontId="33" fillId="18" borderId="0" xfId="0" applyFont="1" applyFill="1" applyAlignment="1">
      <alignment horizontal="left"/>
    </xf>
    <xf numFmtId="0" fontId="31" fillId="9" borderId="0" xfId="0" applyFont="1" applyFill="1" applyAlignment="1">
      <alignment horizontal="center"/>
    </xf>
    <xf numFmtId="0" fontId="35" fillId="16" borderId="0" xfId="0" applyFont="1" applyFill="1" applyAlignment="1">
      <alignment horizontal="center" wrapText="1"/>
    </xf>
    <xf numFmtId="0" fontId="33" fillId="12" borderId="0" xfId="0" applyFont="1" applyFill="1" applyAlignment="1">
      <alignment horizontal="left"/>
    </xf>
    <xf numFmtId="0" fontId="34" fillId="0" borderId="30" xfId="0" applyFont="1" applyBorder="1" applyAlignment="1">
      <alignment horizontal="center" wrapText="1"/>
    </xf>
    <xf numFmtId="0" fontId="35" fillId="16" borderId="0" xfId="0" applyFont="1" applyFill="1" applyAlignment="1">
      <alignment horizontal="center"/>
    </xf>
    <xf numFmtId="0" fontId="5" fillId="12" borderId="0" xfId="0" applyFont="1" applyFill="1" applyAlignment="1">
      <alignment horizontal="right"/>
    </xf>
    <xf numFmtId="0" fontId="5" fillId="12" borderId="26" xfId="0" applyFont="1" applyFill="1" applyBorder="1" applyAlignment="1">
      <alignment horizontal="right"/>
    </xf>
    <xf numFmtId="0" fontId="5" fillId="12" borderId="21" xfId="0" applyFont="1" applyFill="1" applyBorder="1" applyAlignment="1">
      <alignment horizontal="right"/>
    </xf>
    <xf numFmtId="0" fontId="5" fillId="12" borderId="28" xfId="0" applyFont="1" applyFill="1" applyBorder="1" applyAlignment="1">
      <alignment horizontal="right"/>
    </xf>
    <xf numFmtId="0" fontId="12" fillId="7" borderId="0" xfId="0" applyFont="1" applyFill="1" applyAlignment="1">
      <alignment horizontal="center"/>
    </xf>
    <xf numFmtId="0" fontId="1" fillId="21" borderId="0" xfId="0" applyFont="1" applyFill="1" applyAlignment="1">
      <alignment horizontal="center"/>
    </xf>
    <xf numFmtId="0" fontId="2" fillId="8" borderId="45" xfId="0" applyFont="1" applyFill="1" applyBorder="1" applyAlignment="1">
      <alignment horizontal="center"/>
    </xf>
    <xf numFmtId="0" fontId="2" fillId="8" borderId="21" xfId="0" applyFont="1" applyFill="1" applyBorder="1" applyAlignment="1">
      <alignment horizontal="center"/>
    </xf>
    <xf numFmtId="0" fontId="1" fillId="13" borderId="45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0" fillId="3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/>
    </xf>
    <xf numFmtId="0" fontId="0" fillId="31" borderId="46" xfId="0" applyFill="1" applyBorder="1" applyAlignment="1">
      <alignment horizontal="center"/>
    </xf>
    <xf numFmtId="0" fontId="0" fillId="31" borderId="47" xfId="0" applyFill="1" applyBorder="1" applyAlignment="1">
      <alignment horizontal="center"/>
    </xf>
    <xf numFmtId="0" fontId="0" fillId="31" borderId="10" xfId="0" applyFill="1" applyBorder="1" applyAlignment="1">
      <alignment horizontal="center"/>
    </xf>
    <xf numFmtId="0" fontId="0" fillId="31" borderId="46" xfId="0" applyFill="1" applyBorder="1" applyAlignment="1">
      <alignment horizontal="center" vertical="center" wrapText="1"/>
    </xf>
    <xf numFmtId="0" fontId="0" fillId="31" borderId="47" xfId="0" applyFill="1" applyBorder="1" applyAlignment="1">
      <alignment horizontal="center" vertical="center" wrapText="1"/>
    </xf>
    <xf numFmtId="0" fontId="0" fillId="31" borderId="10" xfId="0" applyFill="1" applyBorder="1" applyAlignment="1">
      <alignment horizontal="center" vertical="center" wrapText="1"/>
    </xf>
    <xf numFmtId="0" fontId="47" fillId="13" borderId="1" xfId="0" applyFont="1" applyFill="1" applyBorder="1" applyAlignment="1">
      <alignment horizontal="center" vertical="center"/>
    </xf>
    <xf numFmtId="0" fontId="12" fillId="9" borderId="12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 wrapText="1"/>
    </xf>
    <xf numFmtId="167" fontId="6" fillId="4" borderId="15" xfId="1" applyNumberFormat="1" applyFont="1" applyFill="1" applyBorder="1" applyAlignment="1" applyProtection="1">
      <alignment horizontal="center" vertical="center" wrapText="1"/>
    </xf>
    <xf numFmtId="167" fontId="6" fillId="4" borderId="14" xfId="1" applyNumberFormat="1" applyFont="1" applyFill="1" applyBorder="1" applyAlignment="1" applyProtection="1">
      <alignment horizontal="center" vertical="center" wrapText="1"/>
    </xf>
    <xf numFmtId="0" fontId="6" fillId="9" borderId="20" xfId="0" applyFont="1" applyFill="1" applyBorder="1" applyAlignment="1">
      <alignment horizontal="center"/>
    </xf>
    <xf numFmtId="0" fontId="14" fillId="7" borderId="0" xfId="0" applyFont="1" applyFill="1" applyAlignment="1">
      <alignment horizontal="center" vertical="center"/>
    </xf>
    <xf numFmtId="37" fontId="18" fillId="5" borderId="22" xfId="0" applyNumberFormat="1" applyFont="1" applyFill="1" applyBorder="1" applyAlignment="1">
      <alignment horizontal="center" vertical="center"/>
    </xf>
    <xf numFmtId="37" fontId="18" fillId="5" borderId="23" xfId="0" applyNumberFormat="1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/>
    </xf>
    <xf numFmtId="165" fontId="18" fillId="5" borderId="22" xfId="0" applyNumberFormat="1" applyFont="1" applyFill="1" applyBorder="1" applyAlignment="1">
      <alignment horizontal="center" vertical="center"/>
    </xf>
    <xf numFmtId="165" fontId="18" fillId="5" borderId="23" xfId="0" applyNumberFormat="1" applyFont="1" applyFill="1" applyBorder="1" applyAlignment="1">
      <alignment horizontal="center" vertical="center"/>
    </xf>
    <xf numFmtId="171" fontId="11" fillId="5" borderId="22" xfId="0" applyNumberFormat="1" applyFont="1" applyFill="1" applyBorder="1" applyAlignment="1">
      <alignment horizontal="center" vertical="center"/>
    </xf>
    <xf numFmtId="171" fontId="11" fillId="5" borderId="23" xfId="0" applyNumberFormat="1" applyFont="1" applyFill="1" applyBorder="1" applyAlignment="1">
      <alignment horizontal="center" vertical="center"/>
    </xf>
    <xf numFmtId="10" fontId="11" fillId="5" borderId="22" xfId="2" applyNumberFormat="1" applyFont="1" applyFill="1" applyBorder="1" applyAlignment="1">
      <alignment horizontal="center" vertical="center"/>
    </xf>
    <xf numFmtId="10" fontId="11" fillId="5" borderId="23" xfId="2" applyNumberFormat="1" applyFont="1" applyFill="1" applyBorder="1" applyAlignment="1">
      <alignment horizontal="center" vertical="center"/>
    </xf>
    <xf numFmtId="165" fontId="11" fillId="5" borderId="22" xfId="0" applyNumberFormat="1" applyFont="1" applyFill="1" applyBorder="1" applyAlignment="1">
      <alignment horizontal="center" vertical="center"/>
    </xf>
    <xf numFmtId="165" fontId="11" fillId="5" borderId="23" xfId="0" applyNumberFormat="1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 wrapText="1"/>
    </xf>
    <xf numFmtId="171" fontId="18" fillId="5" borderId="22" xfId="0" applyNumberFormat="1" applyFont="1" applyFill="1" applyBorder="1" applyAlignment="1">
      <alignment horizontal="center" vertical="center"/>
    </xf>
    <xf numFmtId="171" fontId="18" fillId="5" borderId="23" xfId="0" applyNumberFormat="1" applyFont="1" applyFill="1" applyBorder="1" applyAlignment="1">
      <alignment horizontal="center" vertical="center"/>
    </xf>
    <xf numFmtId="10" fontId="18" fillId="5" borderId="22" xfId="2" applyNumberFormat="1" applyFont="1" applyFill="1" applyBorder="1" applyAlignment="1">
      <alignment horizontal="center" vertical="center"/>
    </xf>
    <xf numFmtId="10" fontId="18" fillId="5" borderId="23" xfId="2" applyNumberFormat="1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9" fontId="29" fillId="14" borderId="0" xfId="2" applyFont="1" applyFill="1" applyAlignment="1">
      <alignment horizontal="center" vertical="center"/>
    </xf>
    <xf numFmtId="9" fontId="29" fillId="8" borderId="0" xfId="2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0" fontId="17" fillId="4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21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</cellXfs>
  <cellStyles count="15">
    <cellStyle name="Currency 2" xfId="4" xr:uid="{91E91EF6-B325-468C-B5D3-9A7A982E2E05}"/>
    <cellStyle name="Currency 2 2" xfId="6" xr:uid="{8B599652-8067-4FFE-A9E2-CA2B6581863E}"/>
    <cellStyle name="Currency 2 2 2 2 2" xfId="8" xr:uid="{DC6ED2BE-EED6-4C84-AF27-1627DAC355C6}"/>
    <cellStyle name="Currency 3 2 2" xfId="7" xr:uid="{35DE2DB3-08BB-486D-9DE6-C29BC5A0C4B6}"/>
    <cellStyle name="Millares" xfId="12" builtinId="3"/>
    <cellStyle name="Millares 2" xfId="1" xr:uid="{12A1D27C-8C71-4051-8C44-31BB0837A023}"/>
    <cellStyle name="Moneda" xfId="3" builtinId="4"/>
    <cellStyle name="Normal" xfId="0" builtinId="0"/>
    <cellStyle name="Normal 2" xfId="10" xr:uid="{683F49F9-F42C-4745-A55B-4DDCADFF6A11}"/>
    <cellStyle name="Normal 2 2 2 2" xfId="5" xr:uid="{77746AD9-8939-4BA7-B515-649945F2B5FB}"/>
    <cellStyle name="Normal 2 5" xfId="11" xr:uid="{AB60522C-5F8E-484F-9AC3-16BDAA9A0C40}"/>
    <cellStyle name="Normal 3" xfId="13" xr:uid="{E26D19C6-E659-458F-BAE5-597C1F9D688A}"/>
    <cellStyle name="Normal 9" xfId="14" xr:uid="{A9F3F9B5-5563-43BD-87B0-F77BCA55E358}"/>
    <cellStyle name="Porcentaje" xfId="2" builtinId="5"/>
    <cellStyle name="Pourcentage 2" xfId="9" xr:uid="{76F879A9-8E47-4CDC-A93C-A845D98CE9C7}"/>
  </cellStyles>
  <dxfs count="328">
    <dxf>
      <alignment horizontal="center"/>
    </dxf>
    <dxf>
      <numFmt numFmtId="14" formatCode="0.00%"/>
    </dxf>
    <dxf>
      <numFmt numFmtId="174" formatCode="_-[$KUSD]\ * #,##0.00_-;\-[$KUSD]\ * #,##0.00_-;_-[$KUSD]\ * &quot;-&quot;??_-;_-@_-"/>
    </dxf>
    <dxf>
      <numFmt numFmtId="174" formatCode="_-[$KUSD]\ * #,##0.00_-;\-[$KUSD]\ * #,##0.00_-;_-[$KUSD]\ * &quot;-&quot;??_-;_-@_-"/>
    </dxf>
    <dxf>
      <alignment horizontal="center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69" formatCode="0.0%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175" formatCode="_([$USD]\ * #,##0.00_);_([$USD]\ * \(#,##0.00\);_([$USD]\ * &quot;-&quot;??_);_(@_)"/>
    </dxf>
    <dxf>
      <numFmt numFmtId="13" formatCode="0%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alignment horizontal="left"/>
    </dxf>
    <dxf>
      <alignment horizontal="right" indent="1"/>
    </dxf>
    <dxf>
      <alignment horizontal="right" inden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horizontal="general"/>
    </dxf>
    <dxf>
      <alignment horizontal="general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indent="1"/>
    </dxf>
    <dxf>
      <alignment horizontal="right" indent="1"/>
    </dxf>
    <dxf>
      <alignment horizontal="left"/>
    </dxf>
    <dxf>
      <alignment horizontal="left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numFmt numFmtId="13" formatCode="0%"/>
    </dxf>
    <dxf>
      <numFmt numFmtId="175" formatCode="_([$USD]\ * #,##0.00_);_([$USD]\ * \(#,##0.00\);_([$USD]\ * &quot;-&quot;??_);_(@_)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alignment horizontal="center"/>
    </dxf>
    <dxf>
      <alignment horizontal="center"/>
    </dxf>
    <dxf>
      <alignment horizontal="center"/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top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/>
        <right/>
        <bottom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alignment horizontal="left"/>
    </dxf>
    <dxf>
      <numFmt numFmtId="169" formatCode="0.0%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numFmt numFmtId="175" formatCode="_([$USD]\ * #,##0.00_);_([$USD]\ * \(#,##0.00\);_([$USD]\ * &quot;-&quot;??_);_(@_)"/>
    </dxf>
    <dxf>
      <alignment horizontal="center"/>
    </dxf>
    <dxf>
      <numFmt numFmtId="174" formatCode="_-[$KUSD]\ * #,##0.00_-;\-[$KUSD]\ * #,##0.00_-;_-[$KUSD]\ * &quot;-&quot;??_-;_-@_-"/>
    </dxf>
    <dxf>
      <numFmt numFmtId="174" formatCode="_-[$KUSD]\ * #,##0.00_-;\-[$KUSD]\ * #,##0.00_-;_-[$KUSD]\ * &quot;-&quot;??_-;_-@_-"/>
    </dxf>
    <dxf>
      <numFmt numFmtId="14" formatCode="0.00%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&quot;$&quot;#,##0.00_);[Red]\(&quot;$&quot;#,##0.00\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5" formatCode="_(&quot;$&quot;* #,##0.00_);_(&quot;$&quot;* \(#,##0.00\);_(&quot;$&quot;* &quot;-&quot;??_);_(@_)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26" Type="http://schemas.microsoft.com/office/2017/06/relationships/rdRichValueTypes" Target="richData/rdRichValueTypes.xml"/><Relationship Id="rId39" Type="http://schemas.openxmlformats.org/officeDocument/2006/relationships/customXml" Target="../customXml/item11.xml"/><Relationship Id="rId21" Type="http://schemas.microsoft.com/office/2017/06/relationships/rdRichValue" Target="richData/rdrichvalue.xml"/><Relationship Id="rId34" Type="http://schemas.openxmlformats.org/officeDocument/2006/relationships/customXml" Target="../customXml/item6.xml"/><Relationship Id="rId42" Type="http://schemas.openxmlformats.org/officeDocument/2006/relationships/customXml" Target="../customXml/item14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SupportingPropertyBagStructure" Target="richData/rdsupportingpropertybagstructure.xml"/><Relationship Id="rId32" Type="http://schemas.openxmlformats.org/officeDocument/2006/relationships/customXml" Target="../customXml/item4.xml"/><Relationship Id="rId37" Type="http://schemas.openxmlformats.org/officeDocument/2006/relationships/customXml" Target="../customXml/item9.xml"/><Relationship Id="rId40" Type="http://schemas.openxmlformats.org/officeDocument/2006/relationships/customXml" Target="../customXml/item12.xml"/><Relationship Id="rId45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microsoft.com/office/2017/06/relationships/richStyles" Target="richData/richStyles.xml"/><Relationship Id="rId28" Type="http://schemas.openxmlformats.org/officeDocument/2006/relationships/calcChain" Target="calcChain.xml"/><Relationship Id="rId36" Type="http://schemas.openxmlformats.org/officeDocument/2006/relationships/customXml" Target="../customXml/item8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3.xml"/><Relationship Id="rId44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microsoft.com/office/2017/06/relationships/rdRichValueStructure" Target="richData/rdrichvaluestructure.xml"/><Relationship Id="rId27" Type="http://schemas.openxmlformats.org/officeDocument/2006/relationships/powerPivotData" Target="model/item.data"/><Relationship Id="rId30" Type="http://schemas.openxmlformats.org/officeDocument/2006/relationships/customXml" Target="../customXml/item2.xml"/><Relationship Id="rId35" Type="http://schemas.openxmlformats.org/officeDocument/2006/relationships/customXml" Target="../customXml/item7.xml"/><Relationship Id="rId43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microsoft.com/office/2017/06/relationships/rdSupportingPropertyBag" Target="richData/rdsupportingpropertybag.xml"/><Relationship Id="rId33" Type="http://schemas.openxmlformats.org/officeDocument/2006/relationships/customXml" Target="../customXml/item5.xml"/><Relationship Id="rId38" Type="http://schemas.openxmlformats.org/officeDocument/2006/relationships/customXml" Target="../customXml/item10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19050</xdr:rowOff>
    </xdr:from>
    <xdr:to>
      <xdr:col>1</xdr:col>
      <xdr:colOff>855390</xdr:colOff>
      <xdr:row>5</xdr:row>
      <xdr:rowOff>171670</xdr:rowOff>
    </xdr:to>
    <xdr:pic>
      <xdr:nvPicPr>
        <xdr:cNvPr id="2" name="Picture 1" descr="A blue and black text&#10;&#10;Description automatically generated">
          <a:extLst>
            <a:ext uri="{FF2B5EF4-FFF2-40B4-BE49-F238E27FC236}">
              <a16:creationId xmlns:a16="http://schemas.microsoft.com/office/drawing/2014/main" id="{A91261AC-3B0E-4A2F-9267-531D8EF38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09550"/>
          <a:ext cx="1638300" cy="9135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549910</xdr:colOff>
      <xdr:row>7</xdr:row>
      <xdr:rowOff>106681</xdr:rowOff>
    </xdr:from>
    <xdr:to>
      <xdr:col>34</xdr:col>
      <xdr:colOff>357006</xdr:colOff>
      <xdr:row>32</xdr:row>
      <xdr:rowOff>50377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FC0CF3-E1AA-47CB-B2D8-98349F83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55320" y="1927861"/>
          <a:ext cx="5567816" cy="5098626"/>
        </a:xfrm>
        <a:prstGeom prst="rect">
          <a:avLst/>
        </a:prstGeom>
      </xdr:spPr>
    </xdr:pic>
    <xdr:clientData/>
  </xdr:twoCellAnchor>
  <xdr:twoCellAnchor editAs="oneCell">
    <xdr:from>
      <xdr:col>4</xdr:col>
      <xdr:colOff>298451</xdr:colOff>
      <xdr:row>32</xdr:row>
      <xdr:rowOff>105834</xdr:rowOff>
    </xdr:from>
    <xdr:to>
      <xdr:col>7</xdr:col>
      <xdr:colOff>438330</xdr:colOff>
      <xdr:row>42</xdr:row>
      <xdr:rowOff>37782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E0FAF9-D547-469D-ACB0-1A2DBE62D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2701" y="7081944"/>
          <a:ext cx="2433499" cy="176074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hri, Ravin" id="{770C1132-3992-4262-9B0F-7860D492C0F8}" userId="S::Ravin.Ohri@hughes.com::6e76f329-f899-4121-b82d-29a501099006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enei/AppData/Local/Microsoft/Windows/INetCache/Content.Outlook/305JVUIT/Capitan&#237;as-Per&#250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éctor Ávila" refreshedDate="45334.778178587963" createdVersion="8" refreshedVersion="8" minRefreshableVersion="3" recordCount="28" xr:uid="{ED51F5EF-A439-4737-99FE-C8331D23C7B2}">
  <cacheSource type="worksheet">
    <worksheetSource ref="A1:F29" sheet="Capitanías Perú" r:id="rId2"/>
  </cacheSource>
  <cacheFields count="6">
    <cacheField name="Hughes ID" numFmtId="0">
      <sharedItems containsSemiMixedTypes="0" containsString="0" containsNumber="1" containsInteger="1" minValue="1" maxValue="28"/>
    </cacheField>
    <cacheField name="Ubicación" numFmtId="0">
      <sharedItems/>
    </cacheField>
    <cacheField name="Latitud" numFmtId="0">
      <sharedItems containsSemiMixedTypes="0" containsString="0" containsNumber="1" minValue="-18.117333333333335" maxValue="-3.4996749999999999"/>
    </cacheField>
    <cacheField name="Longitud" numFmtId="0">
      <sharedItems containsSemiMixedTypes="0" containsString="0" containsNumber="1" minValue="-81.234230555555555" maxValue="-70.728416666666675"/>
    </cacheField>
    <cacheField name="Beam T19" numFmtId="0">
      <sharedItems count="8">
        <s v="U019"/>
        <s v="U020"/>
        <s v="U023"/>
        <s v="U025"/>
        <s v="U026"/>
        <s v="U027"/>
        <s v="OFFNET"/>
        <s v="U021"/>
      </sharedItems>
    </cacheField>
    <cacheField name="GW T19" numFmtId="0">
      <sharedItems count="5">
        <s v="Monee, IL"/>
        <s v="North Platte, NE"/>
        <s v="Spokane, WA"/>
        <s v="OFFNET"/>
        <s v="Riverside, 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62.66953564815" createdVersion="8" refreshedVersion="7" minRefreshableVersion="3" recordCount="1" xr:uid="{C1B9D813-D72F-4CB7-A64A-9E422DE22F0C}">
  <cacheSource type="worksheet">
    <worksheetSource name="Table1"/>
  </cacheSource>
  <cacheFields count="24">
    <cacheField name="Type" numFmtId="0">
      <sharedItems/>
    </cacheField>
    <cacheField name="Category" numFmtId="0">
      <sharedItems/>
    </cacheField>
    <cacheField name="Subcategory" numFmtId="0">
      <sharedItems containsBlank="1" count="44">
        <s v=""/>
        <m u="1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Instalacion" u="1"/>
        <s v="Cabinets" u="1"/>
        <s v="Smart TV" u="1"/>
        <s v="Desktop Pc" u="1"/>
        <s v="Project Manager" u="1"/>
        <s v="Laptop" u="1"/>
        <s v="VSAT" u="1"/>
        <s v="Access Points" u="1"/>
        <s v="Installation &amp; Support" u="1"/>
        <s v="Ka Band Managed Capacity" u="1"/>
        <s v="Training" u="1"/>
        <s v="GEO Managed Capacity" u="1"/>
        <s v="International Link" u="1"/>
        <s v="Network O&amp;M" u="1"/>
        <s v="GEO Jupiter VSAT" u="1"/>
        <s v="Cabinet" u="1"/>
        <s v="Security Cams" u="1"/>
        <s v="Web Filtering" u="1"/>
        <s v="Bond" u="1"/>
        <s v="Tables" u="1"/>
        <s v="Digital Repository" u="1"/>
        <s v="Monitoreo" u="1"/>
        <s v="Solar Panel" u="1"/>
        <s v="Network Operations" u="1"/>
        <s v="OW Hughes ESA" u="1"/>
        <s v="Ticketing" u="1"/>
        <s v="ONE Web Service Plan" u="1"/>
        <s v="Managed Capacity" u="1"/>
        <s v="Miscellany" u="1"/>
        <s v="SPARE" u="1"/>
        <s v="Web Filetring" u="1"/>
        <s v="Routers Microtik" u="1"/>
        <s v="Operations" u="1"/>
        <s v="Solar Panels" u="1"/>
        <s v="Internet Service" u="1"/>
        <s v="Equipos de Terceros" u="1"/>
      </sharedItems>
    </cacheField>
    <cacheField name="Manufacturer Part #" numFmtId="0">
      <sharedItems/>
    </cacheField>
    <cacheField name="Product Code" numFmtId="0">
      <sharedItems/>
    </cacheField>
    <cacheField name="Description" numFmtId="0">
      <sharedItems containsBlank="1" count="111">
        <s v="11"/>
        <s v="HT2010 Consumer Broadband Satellite Router, Ka Band only" u="1"/>
        <m u="1"/>
        <s v="Field Services - Site Corrective Maintenance - Ka Band (1Y)" u="1"/>
        <s v="OW Service Plan 100/20 Best Effort - 1TB" u="1"/>
        <s v="Software Edulink" u="1"/>
        <s v="Storage reports of the monitoring tool for 12 months  - Ka" u="1"/>
        <s v="International Link - Dallas - Lima" u="1"/>
        <s v="Support 2 years" u="1"/>
        <s v="Diferents Penalties on the month" u="1"/>
        <s v="Movings or Relocation 10% (Unistallation &amp; re installation)" u="1"/>
        <s v="Field Services - Site Corrective Maintenance - Ka Band (2Y)" u="1"/>
        <s v="Solar Panel" u="1"/>
        <s v="HUGHES KIT VSAT 1.2m + BUC 5W + HT2524" u="1"/>
        <s v="Installation New Equipment" u="1"/>
        <s v="VNO Managed Capacity 216 Mbps (48 sites Reuso 4:1) CIR 15/3" u="1"/>
        <s v="VNO Managed Capacity 288 Mbps (48 sites Reuso 3:1) CIR 15/3" u="1"/>
        <s v="SES Capacity  " u="1"/>
        <s v="3W Multi-mode radio, Ka-Band, RHCP (Linear)" u="1"/>
        <s v="Customized trouble ticket tool : local code of the school, school name, etc" u="1"/>
        <s v="Network Operation and Management - 24 months" u="1"/>
        <s v="Penalties / Reserve" u="1"/>
        <s v="Differents Penalties on the month" u="1"/>
        <s v="Gabinete" u="1"/>
        <s v="Management and service desk system - Speed Test Reporting (hardware included) - 18 months" u="1"/>
        <s v="Outdoor Dual radio WiFi 6 AP Omni 2x2, GbE. RW" u="1"/>
        <s v="Cambium AP Indoor + AP Outdoor" u="1"/>
        <s v="Movings or Relocation 3% (Unistallation &amp; re installation)" u="1"/>
        <s v="Network Operation and Management - 18 months" u="1"/>
        <s v="Ka Band Management Capacity " u="1"/>
        <s v="Ka managed capacity during the implementation - 6 months" u="1"/>
        <s v="AC line cord, US Type B, 720mm, C5 connector" u="1"/>
        <s v="Failed visits during installation" u="1"/>
        <s v="Server for SpeedTest - HP DL360" u="1"/>
        <s v="Support" u="1"/>
        <s v="Bond of Peru" u="1"/>
        <s v="Web Filtering" u="1"/>
        <s v="Unistallation existing equipment and new Installation" u="1"/>
        <s v="Tranportation Hughes" u="1"/>
        <s v="Edulink Implementation" u="1"/>
        <s v="90cm Ka-Band Saturated Antenna (Single IFL) 1pk" u="1"/>
        <s v="Hughes de Peru Operations " u="1"/>
        <s v="Trimast Mount for 74cm and 90cm antenna" u="1"/>
        <s v="Local Training to 2 people of the EPAD about process to verify the terminal" u="1"/>
        <s v="Monitoring Operation" u="1"/>
        <s v="3W Multi-mode radio, Ka-Band, RHCP" u="1"/>
        <s v="Plan OW 100/20 1TB" u="1"/>
        <s v="OW Service Plan 1TB" u="1"/>
        <s v="5x Gigabit Ethernet, SFP, Dual Core 880MHz CPU, 256MB RAM, USB, microSD, RouterOS L4, IPsec hardware encryption support and The Dude server package" u="1"/>
        <s v="NETFLOW Analyzer " u="1"/>
        <s v="146 Mbps 50/15 OVB 8:1" u="1"/>
        <s v="Laptop" u="1"/>
        <s v="Assy, Trimast, Jonsa, 1-pack, Painted" u="1"/>
        <s v="ESA HL1100W DDP Peru" u="1"/>
        <s v="Security Cams" u="1"/>
        <s v="Cabinet" u="1"/>
        <s v="Network Operations" u="1"/>
        <s v="Edulink Mini Servidor Industrial" u="1"/>
        <s v="HT2524 Cellular Backhaul Satellite Router" u="1"/>
        <s v="Antenna JONSA 90 cm" u="1"/>
        <s v="Router + AP" u="1"/>
        <s v="OW Service Plan " u="1"/>
        <s v="90cm Ka-Band antenna, Single IFL, 4 PK- 4 antennas" u="1"/>
        <s v="5x Gigabit Ethernet, SFP, Dual Core 880MHz CPU, 256MB RAM, USB, microSD, RouterOS L4, IPsec hardware encryption support and The Dude server package (20 kits vandalism and 5% for operations)" u="1"/>
        <s v="Transportation Hughes" u="1"/>
        <s v="HUGHES VSAT 1.2m + BUC 5W + HT2300" u="1"/>
        <s v="Local Training to 2 people of the school about process to verify the terminal" u="1"/>
        <s v="Dedicated FTE from Germantown " u="1"/>
        <s v="Miscellany" u="1"/>
        <s v="Web Filtering Solution" u="1"/>
        <s v="FORTINET ITEM 1" u="1"/>
        <s v="1.2m Ka-Band antenna, Single IFL" u="1"/>
        <s v="EM7 " u="1"/>
        <s v="1.2m Ka antenna tri-mast mount" u="1"/>
        <s v="Spare Cabinets" u="1"/>
        <s v="ONEWEB LEO Terminal HL1120 - 195 Mbps DL / 32 Mbps UL" u="1"/>
        <s v="Enterprise Service Plan 10/3" u="1"/>
        <s v="FORTINET ITEM 2" u="1"/>
        <s v="Ticketing Tool Management" u="1"/>
        <s v="Edulink Mini Servidor Industrial - Spare" u="1"/>
        <s v="Field Services - Site Corrective Maintenance - Ka Band (18m)" u="1"/>
        <s v="Plan OW FV02 F.Static.B 100/20/12000B " u="1"/>
        <s v="Monitoring Platform for Links" u="1"/>
        <s v="Monitoring Plataform" u="1"/>
        <s v="PoE, 60W, 56V, 5GbE DC Injector, Indoor, Energy Level 6 Supply, accepts C5 connector" u="1"/>
        <s v="90cm Ka-Band antenna, Single IFL, 1 PK" u="1"/>
        <s v="XMS-Cloud 3-year subscription for Education: 2 and 3-radio AP with all EasyPass modules and Cambium Care Advanced Support" u="1"/>
        <s v="FORTINET ITEM 3" u="1"/>
        <s v="Development and Implementation of Speed ​​Tests" u="1"/>
        <s v="Network Operations + Monitoring + Reporting" u="1"/>
        <s v="Local training about the monitoring tool and web filtering tool " u="1"/>
        <s v="Smart TV" u="1"/>
        <s v="Logistics (Storage center)" u="1"/>
        <s v="Tablets" u="1"/>
        <s v="FORTINET ITEM 4" u="1"/>
        <s v="Estabilizador" u="1"/>
        <s v="Computadora para Monitoreo" u="1"/>
        <s v="FORTINET ITEM 5" u="1"/>
        <s v="Installation + Site Survey + Materials Sites Ka Band" u="1"/>
        <s v="Plan OW FV02 F.Static.B 100/20/3000B 3000GB" u="1"/>
        <s v="FORTINET ALL ITEMS" u="1"/>
        <s v="Internet Service" u="1"/>
        <s v="Spare Solar Panel" u="1"/>
        <s v="Managed Capacity Ka Band -1204 sitios" u="1"/>
        <s v="Project Manager" u="1"/>
        <s v="Management and service desk system - Speed Test Reporting (hardware included) - 24 months" u="1"/>
        <s v="Hughes Training" u="1"/>
        <s v="Service Manager" u="1"/>
        <s v="Ka managed capacity for 24 Months -  " u="1"/>
        <s v="Trimast with Short Mast Adapter DDP Peru" u="1"/>
        <s v="Hosting for SpeedTest Servers" u="1"/>
      </sharedItems>
    </cacheField>
    <cacheField name="Qty" numFmtId="3">
      <sharedItems containsSemiMixedTypes="0" containsString="0" containsNumber="1" minValue="0" maxValue="7023.3333333333294" count="50">
        <n v="22"/>
        <n v="0" u="1"/>
        <n v="146.25" u="1"/>
        <n v="356" u="1"/>
        <n v="13" u="1"/>
        <n v="36" u="1"/>
        <n v="288" u="1"/>
        <n v="5" u="1"/>
        <n v="837.375" u="1"/>
        <n v="625" u="1"/>
        <n v="15" u="1"/>
        <n v="7023.3333333333294" u="1"/>
        <n v="423" u="1"/>
        <n v="2" u="1"/>
        <n v="6" u="1"/>
        <n v="48" u="1"/>
        <n v="92.5" u="1"/>
        <n v="540" u="1"/>
        <n v="50" u="1"/>
        <n v="107" u="1"/>
        <n v="300" u="1"/>
        <n v="18" u="1"/>
        <n v="500" u="1"/>
        <n v="1204" u="1"/>
        <n v="90" u="1"/>
        <n v="7" u="1"/>
        <n v="373.8" u="1"/>
        <n v="2107" u="1"/>
        <n v="35" u="1"/>
        <n v="37" u="1"/>
        <n v="1" u="1"/>
        <n v="3" u="1"/>
        <n v="8" u="1"/>
        <n v="525" u="1"/>
        <n v="25" u="1"/>
        <n v="150" u="1"/>
        <n v="712" u="1"/>
        <n v="45" u="1"/>
        <n v="2468" u="1"/>
        <n v="10" u="1"/>
        <n v="216" u="1"/>
        <n v="460" u="1"/>
        <n v="28" u="1"/>
        <n v="80" u="1"/>
        <n v="321" u="1"/>
        <n v="392" u="1"/>
        <n v="30" u="1"/>
        <n v="4" u="1"/>
        <n v="12" u="1"/>
        <n v="55" u="1"/>
      </sharedItems>
    </cacheField>
    <cacheField name="Unit of Measure" numFmtId="3">
      <sharedItems/>
    </cacheField>
    <cacheField name="Discount" numFmtId="9">
      <sharedItems containsSemiMixedTypes="0" containsString="0" containsNumber="1" containsInteger="1" minValue="11" maxValue="11"/>
    </cacheField>
    <cacheField name="Finance?" numFmtId="9">
      <sharedItems containsBlank="1" count="6">
        <s v="www"/>
        <m u="1"/>
        <s v="No" u="1"/>
        <s v="Yes" u="1"/>
        <s v="MRC" u="1"/>
        <s v="NRC" u="1"/>
      </sharedItems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-1215.4285714285716" maxValue="-1215.4285714285716"/>
    </cacheField>
    <cacheField name="Ext. Disc. Price" numFmtId="165">
      <sharedItems containsSemiMixedTypes="0" containsString="0" containsNumber="1" minValue="-26739.428571428572" maxValue="-26739.428571428572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871.76" maxValue="1871.76"/>
    </cacheField>
    <cacheField name="Profit Margin" numFmtId="9">
      <sharedItems containsSemiMixedTypes="0" containsString="0" containsNumber="1" minValue="1.07" maxValue="1.07"/>
    </cacheField>
    <cacheField name="Owner" numFmtId="0">
      <sharedItems/>
    </cacheField>
    <cacheField name="Monthly Price per Site" numFmtId="165">
      <sharedItems containsSemiMixedTypes="0" containsString="0" containsNumber="1" minValue="-2.187990227594188" maxValue="-2.187990227594188"/>
    </cacheField>
    <cacheField name="Monthly Cost per Site" numFmtId="165">
      <sharedItems containsSemiMixedTypes="0" containsString="0" containsNumber="1" minValue="0.15315931593159315" maxValue="0.15315931593159315"/>
    </cacheField>
    <cacheField name="Monthly Price per Mbps" numFmtId="165">
      <sharedItems containsSemiMixedTypes="0" containsString="0" containsNumber="1" minValue="-0.19726179849526437" maxValue="-0.19726179849526437"/>
    </cacheField>
    <cacheField name="Monthly Cost per Mbps" numFmtId="165">
      <sharedItems containsSemiMixedTypes="0" containsString="0" containsNumber="1" minValue="1.3808325894668506E-2" maxValue="1.3808325894668506E-2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abriel" refreshedDate="45862.669537384259" createdVersion="8" refreshedVersion="7" minRefreshableVersion="3" recordCount="1" xr:uid="{D661CA06-4568-48FA-8A1F-B71C515E3F98}">
  <cacheSource type="worksheet">
    <worksheetSource ref="A24:X25" sheet="QTO DB"/>
  </cacheSource>
  <cacheFields count="30">
    <cacheField name="Type" numFmtId="0">
      <sharedItems containsBlank="1" count="4">
        <s v="1111"/>
        <m u="1"/>
        <s v="CAPEX" u="1"/>
        <s v="OPEX" u="1"/>
      </sharedItems>
    </cacheField>
    <cacheField name="Category" numFmtId="0">
      <sharedItems count="7">
        <s v=""/>
        <s v="Hughes Eq." u="1"/>
        <s v="3rd Party Eq." u="1"/>
        <s v="3rd Party Equipment" u="1"/>
        <s v="Hughes Equipment" u="1"/>
        <s v="3rd Party Services" u="1"/>
        <s v="Hughes Services" u="1"/>
      </sharedItems>
    </cacheField>
    <cacheField name="Subcategory" numFmtId="0">
      <sharedItems containsBlank="1" count="46">
        <s v=""/>
        <m u="1"/>
        <s v="Capacity" u="1"/>
        <s v="ONE Web Terminal" u="1"/>
        <s v="Enterprise Service Plan 10/3" u="1"/>
        <s v="Network Operations + Monitoring" u="1"/>
        <s v="Field Services" u="1"/>
        <s v="Network Operations + Monitoring+Reports" u="1"/>
        <s v="Service Manager" u="1"/>
        <s v="Cabinets" u="1"/>
        <s v="Smart TV" u="1"/>
        <s v="Desktop Pc" u="1"/>
        <s v="Project Manager" u="1"/>
        <s v="Laptop" u="1"/>
        <s v="VSAT" u="1"/>
        <s v="Penalties" u="1"/>
        <s v="Access Points" u="1"/>
        <s v="Installation &amp; Support" u="1"/>
        <s v="Training" u="1"/>
        <s v="GEO Managed Capacity" u="1"/>
        <s v="International Link" u="1"/>
        <s v="Network O&amp;M" u="1"/>
        <s v="GEO Jupiter VSAT" u="1"/>
        <s v="One Time Services" u="1"/>
        <s v="Baseline Eq." u="1"/>
        <s v="Cabinet" u="1"/>
        <s v="IBOS-Web Filtering" u="1"/>
        <s v="Monitoring and Hosting" u="1"/>
        <s v="Security Cams" u="1"/>
        <s v="Web Filtering" u="1"/>
        <s v="Tables" u="1"/>
        <s v="Digital Repository" u="1"/>
        <s v="Solar Panel" u="1"/>
        <s v="Network Operations" u="1"/>
        <s v="Other" u="1"/>
        <s v="ONE Web Service Plan" u="1"/>
        <s v="Network O6M" u="1"/>
        <s v="Managed Capacity" u="1"/>
        <s v="Miscellany" u="1"/>
        <s v="SPARE" u="1"/>
        <s v="Web Filetring" u="1"/>
        <s v="Routers Microtik" u="1"/>
        <s v="Spare Eq." u="1"/>
        <s v="Installation Services" u="1"/>
        <s v="Solar Panels" u="1"/>
        <s v="Internet Service" u="1"/>
      </sharedItems>
    </cacheField>
    <cacheField name="Manufacturer Part #" numFmtId="0">
      <sharedItems containsBlank="1" count="8">
        <s v="qqqqq+qqq"/>
        <m u="1"/>
        <s v="HUGHES" u="1"/>
        <s v="1506560-0021+1506561-0021" u="1"/>
        <s v="1505216-0332" u="1"/>
        <s v="1503931-0004" u="1"/>
        <s v="1506689-1004" u="1"/>
        <s v="COGENT" u="1"/>
      </sharedItems>
    </cacheField>
    <cacheField name="Product Code" numFmtId="0">
      <sharedItems/>
    </cacheField>
    <cacheField name="Description" numFmtId="0">
      <sharedItems/>
    </cacheField>
    <cacheField name="Qty" numFmtId="3">
      <sharedItems containsSemiMixedTypes="0" containsString="0" containsNumber="1" containsInteger="1" minValue="22" maxValue="22"/>
    </cacheField>
    <cacheField name="Unit of Measure" numFmtId="3">
      <sharedItems/>
    </cacheField>
    <cacheField name="Discount" numFmtId="9">
      <sharedItems containsSemiMixedTypes="0" containsString="0" containsNumber="1" containsInteger="1" minValue="11" maxValue="11"/>
    </cacheField>
    <cacheField name="Finance?" numFmtId="9">
      <sharedItems/>
    </cacheField>
    <cacheField name="Unit Price" numFmtId="165">
      <sharedItems containsSemiMixedTypes="0" containsString="0" containsNumber="1" minValue="121.54285714285714" maxValue="121.54285714285714"/>
    </cacheField>
    <cacheField name="Unit Disc. Price" numFmtId="165">
      <sharedItems containsSemiMixedTypes="0" containsString="0" containsNumber="1" minValue="-1215.4285714285716" maxValue="-1215.4285714285716"/>
    </cacheField>
    <cacheField name="Ext. Disc. Price" numFmtId="165">
      <sharedItems containsSemiMixedTypes="0" containsString="0" containsNumber="1" minValue="-26739.428571428572" maxValue="-26739.428571428572"/>
    </cacheField>
    <cacheField name="Unit Cost" numFmtId="165">
      <sharedItems containsSemiMixedTypes="0" containsString="0" containsNumber="1" minValue="85.08" maxValue="85.08"/>
    </cacheField>
    <cacheField name="Ext. Cost" numFmtId="165">
      <sharedItems containsSemiMixedTypes="0" containsString="0" containsNumber="1" minValue="1871.76" maxValue="1871.76"/>
    </cacheField>
    <cacheField name="Profit Margin" numFmtId="9">
      <sharedItems containsSemiMixedTypes="0" containsString="0" containsNumber="1" minValue="1.07" maxValue="1.07"/>
    </cacheField>
    <cacheField name="Owner" numFmtId="0">
      <sharedItems/>
    </cacheField>
    <cacheField name="Monthly Price per Site" numFmtId="165">
      <sharedItems containsSemiMixedTypes="0" containsString="0" containsNumber="1" minValue="-2.187990227594188" maxValue="-2.187990227594188"/>
    </cacheField>
    <cacheField name="Monthly Cost per Site" numFmtId="165">
      <sharedItems containsSemiMixedTypes="0" containsString="0" containsNumber="1" minValue="0.15315931593159315" maxValue="0.15315931593159315"/>
    </cacheField>
    <cacheField name="Monthly Price per Mbps" numFmtId="165">
      <sharedItems containsSemiMixedTypes="0" containsString="0" containsNumber="1" minValue="-0.19726179849526437" maxValue="-0.19726179849526437"/>
    </cacheField>
    <cacheField name="Monthly Cost per Mbps" numFmtId="165">
      <sharedItems containsSemiMixedTypes="0" containsString="0" containsNumber="1" minValue="1.3808325894668506E-2" maxValue="1.3808325894668506E-2"/>
    </cacheField>
    <cacheField name="Financed CAPEX" numFmtId="164">
      <sharedItems containsSemiMixedTypes="0" containsString="0" containsNumber="1" containsInteger="1" minValue="0" maxValue="0"/>
    </cacheField>
    <cacheField name="Financed Monthly Price per Site" numFmtId="164">
      <sharedItems containsSemiMixedTypes="0" containsString="0" containsNumber="1" containsInteger="1" minValue="0" maxValue="0"/>
    </cacheField>
    <cacheField name="Notes" numFmtId="0">
      <sharedItems containsNonDate="0" containsString="0" containsBlank="1"/>
    </cacheField>
    <cacheField name="Ext. Price in KUSD" numFmtId="0" formula="#NAME?/1000" databaseField="0"/>
    <cacheField name="Ext. Cost in KUSD" numFmtId="0" formula="'Ext. Cost'/1000" databaseField="0"/>
    <cacheField name="% of Proyect" numFmtId="0" formula="'Ext. Cost in KUSD'" databaseField="0"/>
    <cacheField name="Disc. Ext. Price" numFmtId="0" formula="'Ext. Disc. Price'/1000" databaseField="0"/>
    <cacheField name="Monthly Cost per Mbps2" numFmtId="0" formula="'Unit Cost'" databaseField="0"/>
    <cacheField name="Margin Calc" numFmtId="0" formula="1-('Ext. Cost'/'Ext. Disc. Price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s v="CABO BLANCO, TUMBES"/>
    <n v="-4.2514861111111113"/>
    <n v="-81.234230555555555"/>
    <x v="0"/>
    <x v="0"/>
  </r>
  <r>
    <n v="2"/>
    <s v="MANCORA, TUMBES"/>
    <n v="-4.1074583333333328"/>
    <n v="-81.056163888888889"/>
    <x v="0"/>
    <x v="0"/>
  </r>
  <r>
    <n v="3"/>
    <s v="PARACHIQUE, PIURA"/>
    <n v="-5.7656333333333336"/>
    <n v="-80.863675000000001"/>
    <x v="1"/>
    <x v="1"/>
  </r>
  <r>
    <n v="4"/>
    <s v="SANTA ROSA, LAMBAYEQUE"/>
    <n v="-6.8848972222222216"/>
    <n v="-79.919497222222233"/>
    <x v="1"/>
    <x v="1"/>
  </r>
  <r>
    <n v="5"/>
    <s v="MALABRIGO, LA LIBERTAD"/>
    <n v="-7.6991666666666667"/>
    <n v="-79.436666666666667"/>
    <x v="1"/>
    <x v="1"/>
  </r>
  <r>
    <n v="6"/>
    <s v="HUARMEY, LIMA"/>
    <n v="-10.098333333333334"/>
    <n v="-78.169444444444451"/>
    <x v="2"/>
    <x v="2"/>
  </r>
  <r>
    <n v="7"/>
    <s v="TAMBO DE MORA, LIMA"/>
    <n v="-13.459638888888888"/>
    <n v="-76.183333333333337"/>
    <x v="3"/>
    <x v="0"/>
  </r>
  <r>
    <n v="8"/>
    <s v="CHALA, AREQUIPA"/>
    <n v="-15.866044444444444"/>
    <n v="-74.247936111111116"/>
    <x v="4"/>
    <x v="0"/>
  </r>
  <r>
    <n v="9"/>
    <s v="PLANCHADA, AREQUIPA"/>
    <n v="-16.40111111111111"/>
    <n v="-73.223647222222226"/>
    <x v="4"/>
    <x v="0"/>
  </r>
  <r>
    <n v="10"/>
    <s v="ATICO, AREQUIPA"/>
    <n v="-16.230274999999999"/>
    <n v="-73.696694444444447"/>
    <x v="4"/>
    <x v="0"/>
  </r>
  <r>
    <n v="11"/>
    <s v="MORROSAMA, TACNA"/>
    <n v="-17.994194444444446"/>
    <n v="-70.88302777777777"/>
    <x v="5"/>
    <x v="0"/>
  </r>
  <r>
    <n v="12"/>
    <s v="PUERTO PIZARRO, TUMBES"/>
    <n v="-3.4996749999999999"/>
    <n v="-80.388797222222223"/>
    <x v="0"/>
    <x v="0"/>
  </r>
  <r>
    <n v="13"/>
    <s v="VEGUETA, LIMA"/>
    <n v="-11.006944444444445"/>
    <n v="-77.653333333333336"/>
    <x v="2"/>
    <x v="2"/>
  </r>
  <r>
    <n v="14"/>
    <s v="MATARANI, TACNA"/>
    <n v="-16.995280555555556"/>
    <n v="-72.105249999999998"/>
    <x v="5"/>
    <x v="0"/>
  </r>
  <r>
    <n v="15"/>
    <s v="BAHIA CHORRILLOS, LIMA"/>
    <n v="-12.16325"/>
    <n v="-77.029972222222227"/>
    <x v="2"/>
    <x v="2"/>
  </r>
  <r>
    <n v="16"/>
    <s v="BAHIA ANCON, LIMA"/>
    <n v="-11.745111111111111"/>
    <n v="-77.193805555555556"/>
    <x v="2"/>
    <x v="2"/>
  </r>
  <r>
    <n v="17"/>
    <s v="BAHIA PUCUSANA, LIMA"/>
    <n v="-12.480277777777777"/>
    <n v="-76.799722222222215"/>
    <x v="3"/>
    <x v="0"/>
  </r>
  <r>
    <n v="18"/>
    <s v="BAYOVAR, PIURA"/>
    <n v="-5.7963611111111106"/>
    <n v="-81.054611111111114"/>
    <x v="6"/>
    <x v="3"/>
  </r>
  <r>
    <n v="19"/>
    <s v="CALETA VILA VILA, TACNA"/>
    <n v="-18.117333333333335"/>
    <n v="-70.728416666666675"/>
    <x v="5"/>
    <x v="0"/>
  </r>
  <r>
    <n v="20"/>
    <s v="CASMA, ANCASH"/>
    <n v="-9.4558333333333326"/>
    <n v="-78.385833333333338"/>
    <x v="7"/>
    <x v="4"/>
  </r>
  <r>
    <n v="21"/>
    <s v="CALETA LOMAS, AREQUIPA"/>
    <n v="-15.570277777777777"/>
    <n v="-74.853055555555557"/>
    <x v="4"/>
    <x v="0"/>
  </r>
  <r>
    <n v="22"/>
    <s v="PACASMAYO, LA LIBERTAD"/>
    <n v="-7.39825"/>
    <n v="-79.571666666666658"/>
    <x v="1"/>
    <x v="1"/>
  </r>
  <r>
    <n v="23"/>
    <s v="CALETA CANCAS, TUMBES"/>
    <n v="-3.9442777777777782"/>
    <n v="-80.94016666666667"/>
    <x v="0"/>
    <x v="0"/>
  </r>
  <r>
    <n v="24"/>
    <s v="CALETA QUILCA, AREQUIPA"/>
    <n v="-16.714722222222221"/>
    <n v="-72.434750000000008"/>
    <x v="5"/>
    <x v="0"/>
  </r>
  <r>
    <n v="25"/>
    <s v="CALETA SAN JOSE, LAMBAYEQUE"/>
    <n v="-6.769166666666667"/>
    <n v="-79.970500000000001"/>
    <x v="1"/>
    <x v="1"/>
  </r>
  <r>
    <n v="26"/>
    <s v="PUERTO ETEN, LAMBAYEQUE"/>
    <n v="-6.9482777777777782"/>
    <n v="-79.86633333333333"/>
    <x v="1"/>
    <x v="1"/>
  </r>
  <r>
    <n v="27"/>
    <s v="CERRO AZUL, LIMA"/>
    <n v="-13.025833333333335"/>
    <n v="-76.484333333333339"/>
    <x v="3"/>
    <x v="0"/>
  </r>
  <r>
    <n v="28"/>
    <s v="CALETA SAN ANDRES, LIMA"/>
    <n v="-13.733333333333333"/>
    <n v="-76.225277777777777"/>
    <x v="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1111"/>
    <s v=""/>
    <x v="0"/>
    <s v="qqqqq+qqq"/>
    <s v=""/>
    <x v="0"/>
    <x v="0"/>
    <s v=""/>
    <n v="11"/>
    <x v="0"/>
    <n v="121.54285714285714"/>
    <n v="-1215.4285714285716"/>
    <n v="-26739.428571428572"/>
    <n v="85.08"/>
    <n v="1871.76"/>
    <n v="1.07"/>
    <s v="HNS"/>
    <n v="-2.187990227594188"/>
    <n v="0.15315931593159315"/>
    <n v="-0.19726179849526437"/>
    <n v="1.3808325894668506E-2"/>
    <n v="0"/>
    <n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x v="0"/>
    <s v=""/>
    <s v="11"/>
    <n v="22"/>
    <s v=""/>
    <n v="11"/>
    <s v="www"/>
    <n v="121.54285714285714"/>
    <n v="-1215.4285714285716"/>
    <n v="-26739.428571428572"/>
    <n v="85.08"/>
    <n v="1871.76"/>
    <n v="1.07"/>
    <s v="HNS"/>
    <n v="-2.187990227594188"/>
    <n v="0.15315931593159315"/>
    <n v="-0.19726179849526437"/>
    <n v="1.3808325894668506E-2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11D40-89D9-4408-A979-99CBD308B739}" name="PivotTable1" cacheId="14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showHeaders="0" outline="1" outlineData="1" multipleFieldFilters="0">
  <location ref="B12:J13" firstHeaderRow="0" firstDataRow="1" firstDataCol="1"/>
  <pivotFields count="30">
    <pivotField axis="axisRow" showAll="0">
      <items count="5">
        <item m="1" x="2"/>
        <item m="1" x="3"/>
        <item x="0"/>
        <item m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8">
        <item m="1" x="2"/>
        <item m="1" x="5"/>
        <item h="1" m="1" x="1"/>
        <item m="1" x="6"/>
        <item m="1" x="4"/>
        <item m="1" x="3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multipleItemSelectionAllowed="1" showAll="0">
      <items count="47">
        <item m="1" x="16"/>
        <item m="1" x="24"/>
        <item m="1" x="9"/>
        <item m="1" x="2"/>
        <item m="1" x="11"/>
        <item m="1" x="31"/>
        <item m="1" x="6"/>
        <item m="1" x="26"/>
        <item m="1" x="27"/>
        <item m="1" x="21"/>
        <item m="1" x="36"/>
        <item m="1" x="23"/>
        <item m="1" x="15"/>
        <item m="1" x="41"/>
        <item m="1" x="44"/>
        <item m="1" x="42"/>
        <item m="1" x="14"/>
        <item m="1" x="17"/>
        <item m="1" x="34"/>
        <item m="1" x="40"/>
        <item m="1" x="37"/>
        <item m="1" x="4"/>
        <item m="1" x="43"/>
        <item m="1" x="39"/>
        <item m="1" x="3"/>
        <item m="1" x="35"/>
        <item m="1" x="38"/>
        <item m="1" x="32"/>
        <item m="1" x="29"/>
        <item m="1" x="25"/>
        <item m="1" x="28"/>
        <item m="1" x="13"/>
        <item m="1" x="30"/>
        <item m="1" x="10"/>
        <item m="1" x="18"/>
        <item m="1" x="12"/>
        <item m="1" x="8"/>
        <item m="1" x="5"/>
        <item m="1" x="22"/>
        <item m="1" x="19"/>
        <item m="1" x="7"/>
        <item m="1" x="20"/>
        <item m="1" x="33"/>
        <item m="1" x="45"/>
        <item m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9">
        <item m="1" x="5"/>
        <item m="1" x="4"/>
        <item m="1" x="3"/>
        <item m="1" x="6"/>
        <item m="1" x="7"/>
        <item m="1" x="2"/>
        <item m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3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65"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3"/>
  </rowFields>
  <rowItems count="1"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Disct. Ext. Price" fld="27" baseField="0" baseItem="0" numFmtId="174"/>
    <dataField name="Ext. Cost." fld="25" baseField="0" baseItem="0" numFmtId="174"/>
    <dataField name="% of Project" fld="26" showDataAs="percentOfTotal" baseField="0" baseItem="0" numFmtId="10"/>
    <dataField name="Monthly Price / Site" fld="17" baseField="2" baseItem="16" numFmtId="175"/>
    <dataField name="Monthly Cost / Site" fld="18" baseField="0" baseItem="0" numFmtId="175"/>
    <dataField name="Monthly Price / Mbps" fld="19" baseField="2" baseItem="4" numFmtId="175"/>
    <dataField name="Monthly Cost / Mbps" fld="20" baseField="2" baseItem="4" numFmtId="175"/>
    <dataField name="Margin" fld="29" baseField="1" baseItem="3" numFmtId="169"/>
  </dataFields>
  <formats count="10">
    <format dxfId="301">
      <pivotArea outline="0" collapsedLevelsAreSubtotals="1" fieldPosition="0"/>
    </format>
    <format dxfId="300">
      <pivotArea outline="0" fieldPosition="0">
        <references count="1">
          <reference field="4294967294" count="1">
            <x v="2"/>
          </reference>
        </references>
      </pivotArea>
    </format>
    <format dxfId="299">
      <pivotArea outline="0" fieldPosition="0">
        <references count="1">
          <reference field="4294967294" count="1">
            <x v="0"/>
          </reference>
        </references>
      </pivotArea>
    </format>
    <format dxfId="298">
      <pivotArea outline="0" fieldPosition="0">
        <references count="1">
          <reference field="4294967294" count="1">
            <x v="1"/>
          </reference>
        </references>
      </pivotArea>
    </format>
    <format dxfId="297">
      <pivotArea dataOnly="0" labelOnly="1" outline="0" fieldPosition="0">
        <references count="1">
          <reference field="4294967294" count="4">
            <x v="0"/>
            <x v="1"/>
            <x v="2"/>
            <x v="4"/>
          </reference>
        </references>
      </pivotArea>
    </format>
    <format dxfId="296">
      <pivotArea outline="0" fieldPosition="0">
        <references count="1">
          <reference field="4294967294" count="1">
            <x v="6"/>
          </reference>
        </references>
      </pivotArea>
    </format>
    <format dxfId="295">
      <pivotArea outline="0" fieldPosition="0">
        <references count="1">
          <reference field="4294967294" count="1">
            <x v="4"/>
          </reference>
        </references>
      </pivotArea>
    </format>
    <format dxfId="294">
      <pivotArea outline="0" fieldPosition="0">
        <references count="1">
          <reference field="4294967294" count="1">
            <x v="3"/>
          </reference>
        </references>
      </pivotArea>
    </format>
    <format dxfId="293">
      <pivotArea outline="0" fieldPosition="0">
        <references count="1">
          <reference field="4294967294" count="1">
            <x v="5"/>
          </reference>
        </references>
      </pivotArea>
    </format>
    <format dxfId="292">
      <pivotArea outline="0" fieldPosition="0">
        <references count="1">
          <reference field="4294967294" count="1">
            <x v="7"/>
          </reference>
        </references>
      </pivotArea>
    </format>
  </formats>
  <pivotTableStyleInfo name="PivotStyleDark1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325A3-4489-4711-B738-6A80A74E621D}" name="PivotTable2" cacheId="8" applyNumberFormats="0" applyBorderFormats="0" applyFontFormats="0" applyPatternFormats="0" applyAlignmentFormats="0" applyWidthHeightFormats="1" dataCaption="Values" updatedVersion="7" minRefreshableVersion="3" showDrill="0" useAutoFormatting="1" itemPrintTitles="1" mergeItem="1" createdVersion="8" indent="0" compact="0" outline="1" outlineData="1" compactData="0" rowHeaderCaption="Item">
  <location ref="A20:F21" firstHeaderRow="0" firstDataRow="1" firstDataCol="2" rowPageCount="1" colPageCount="1"/>
  <pivotFields count="24">
    <pivotField compact="0" showAll="0"/>
    <pivotField compact="0" showAll="0" defaultSubtotal="0"/>
    <pivotField axis="axisRow" showAll="0" includeNewItemsInFilter="1">
      <items count="45">
        <item m="1" x="15"/>
        <item m="1" x="9"/>
        <item m="1" x="11"/>
        <item m="1" x="28"/>
        <item m="1" x="16"/>
        <item m="1" x="35"/>
        <item m="1" x="21"/>
        <item m="1" x="39"/>
        <item m="1" x="41"/>
        <item m="1" x="14"/>
        <item m="1" x="38"/>
        <item m="1" x="3"/>
        <item m="1" x="5"/>
        <item m="1" x="37"/>
        <item m="1" x="2"/>
        <item m="1" x="34"/>
        <item m="1" x="36"/>
        <item m="1" x="30"/>
        <item m="1" x="25"/>
        <item m="1" x="23"/>
        <item m="1" x="24"/>
        <item m="1" x="13"/>
        <item m="1" x="27"/>
        <item m="1" x="10"/>
        <item m="1" x="18"/>
        <item m="1" x="12"/>
        <item m="1" x="7"/>
        <item m="1" x="4"/>
        <item m="1" x="22"/>
        <item m="1" x="19"/>
        <item m="1" x="6"/>
        <item m="1" x="43"/>
        <item m="1" x="8"/>
        <item m="1" x="29"/>
        <item m="1" x="33"/>
        <item m="1" x="26"/>
        <item m="1" x="40"/>
        <item m="1" x="17"/>
        <item m="1" x="20"/>
        <item m="1" x="31"/>
        <item m="1" x="42"/>
        <item m="1" x="32"/>
        <item m="1" x="1"/>
        <item x="0"/>
        <item t="default"/>
      </items>
    </pivotField>
    <pivotField compact="0" showAll="0" defaultSubtotal="0"/>
    <pivotField compact="0" showAll="0" defaultSubtotal="0"/>
    <pivotField axis="axisRow" outline="0" showAll="0" defaultSubtotal="0">
      <items count="111">
        <item m="1" x="73"/>
        <item m="1" x="71"/>
        <item m="1" x="45"/>
        <item m="1" x="48"/>
        <item m="1" x="63"/>
        <item m="1" x="85"/>
        <item m="1" x="62"/>
        <item m="1" x="31"/>
        <item m="1" x="96"/>
        <item m="1" x="67"/>
        <item m="1" x="88"/>
        <item m="1" x="9"/>
        <item m="1" x="39"/>
        <item m="1" x="57"/>
        <item m="1" x="79"/>
        <item m="1" x="32"/>
        <item m="1" x="11"/>
        <item m="1" x="100"/>
        <item m="1" x="70"/>
        <item m="1" x="77"/>
        <item m="1" x="87"/>
        <item m="1" x="94"/>
        <item m="1" x="97"/>
        <item m="1" x="110"/>
        <item m="1" x="1"/>
        <item m="1" x="41"/>
        <item m="1" x="98"/>
        <item m="1" x="30"/>
        <item m="1" x="108"/>
        <item m="1" x="90"/>
        <item m="1" x="43"/>
        <item m="1" x="92"/>
        <item m="1" x="105"/>
        <item m="1" x="44"/>
        <item m="1" x="83"/>
        <item m="1" x="82"/>
        <item m="1" x="10"/>
        <item m="1" x="20"/>
        <item m="1" x="25"/>
        <item m="1" x="21"/>
        <item m="1" x="84"/>
        <item m="1" x="33"/>
        <item m="1" x="17"/>
        <item m="1" x="5"/>
        <item m="1" x="12"/>
        <item m="1" x="74"/>
        <item m="1" x="102"/>
        <item m="1" x="8"/>
        <item m="1" x="64"/>
        <item m="1" x="42"/>
        <item m="1" x="86"/>
        <item m="1" x="76"/>
        <item m="1" x="37"/>
        <item m="1" x="3"/>
        <item m="1" x="22"/>
        <item m="1" x="58"/>
        <item m="1" x="16"/>
        <item m="1" x="14"/>
        <item m="1" x="75"/>
        <item m="1" x="61"/>
        <item m="1" x="34"/>
        <item m="1" x="4"/>
        <item m="1" x="68"/>
        <item m="1" x="15"/>
        <item m="1" x="99"/>
        <item m="1" x="81"/>
        <item m="1" x="46"/>
        <item m="1" x="26"/>
        <item m="1" x="36"/>
        <item m="1" x="55"/>
        <item m="1" x="54"/>
        <item m="1" x="51"/>
        <item m="1" x="93"/>
        <item m="1" x="91"/>
        <item m="1" x="106"/>
        <item m="1" x="104"/>
        <item m="1" x="107"/>
        <item m="1" x="89"/>
        <item m="1" x="65"/>
        <item m="1" x="50"/>
        <item m="1" x="13"/>
        <item m="1" x="18"/>
        <item m="1" x="59"/>
        <item m="1" x="52"/>
        <item m="1" x="23"/>
        <item m="1" x="95"/>
        <item m="1" x="60"/>
        <item m="1" x="27"/>
        <item m="1" x="66"/>
        <item m="1" x="38"/>
        <item m="1" x="49"/>
        <item m="1" x="6"/>
        <item m="1" x="19"/>
        <item m="1" x="72"/>
        <item m="1" x="35"/>
        <item m="1" x="28"/>
        <item m="1" x="24"/>
        <item m="1" x="80"/>
        <item m="1" x="78"/>
        <item m="1" x="29"/>
        <item m="1" x="69"/>
        <item m="1" x="40"/>
        <item m="1" x="103"/>
        <item m="1" x="7"/>
        <item m="1" x="56"/>
        <item m="1" x="101"/>
        <item m="1" x="53"/>
        <item m="1" x="109"/>
        <item m="1" x="47"/>
        <item m="1" x="2"/>
        <item x="0"/>
      </items>
    </pivotField>
    <pivotField axis="axisRow" compact="0" numFmtId="3" showAll="0" defaultSubtotal="0">
      <items count="50">
        <item m="1" x="1"/>
        <item m="1" x="30"/>
        <item m="1" x="13"/>
        <item m="1" x="31"/>
        <item m="1" x="47"/>
        <item m="1" x="14"/>
        <item m="1" x="32"/>
        <item m="1" x="10"/>
        <item m="1" x="21"/>
        <item m="1" x="46"/>
        <item m="1" x="28"/>
        <item m="1" x="5"/>
        <item m="1" x="18"/>
        <item m="1" x="43"/>
        <item m="1" x="16"/>
        <item m="1" x="19"/>
        <item m="1" x="44"/>
        <item m="1" x="3"/>
        <item m="1" x="26"/>
        <item m="1" x="45"/>
        <item m="1" x="36"/>
        <item m="1" x="8"/>
        <item m="1" x="20"/>
        <item m="1" x="33"/>
        <item m="1" x="22"/>
        <item m="1" x="35"/>
        <item m="1" x="9"/>
        <item m="1" x="7"/>
        <item m="1" x="42"/>
        <item m="1" x="48"/>
        <item m="1" x="15"/>
        <item m="1" x="6"/>
        <item m="1" x="49"/>
        <item m="1" x="25"/>
        <item m="1" x="40"/>
        <item m="1" x="24"/>
        <item m="1" x="39"/>
        <item m="1" x="17"/>
        <item m="1" x="2"/>
        <item m="1" x="12"/>
        <item m="1" x="4"/>
        <item m="1" x="41"/>
        <item m="1" x="37"/>
        <item m="1" x="38"/>
        <item m="1" x="23"/>
        <item m="1" x="29"/>
        <item m="1" x="11"/>
        <item m="1" x="27"/>
        <item m="1" x="34"/>
        <item x="0"/>
      </items>
    </pivotField>
    <pivotField compact="0" showAll="0" defaultSubtotal="0"/>
    <pivotField dataField="1" compact="0" numFmtId="9" showAll="0" defaultSubtotal="0"/>
    <pivotField axis="axisPage" compact="0" multipleItemSelectionAllowed="1" showAll="0" defaultSubtotal="0">
      <items count="6">
        <item h="1" m="1" x="2"/>
        <item h="1" m="1" x="3"/>
        <item m="1" x="5"/>
        <item h="1" m="1" x="4"/>
        <item h="1" x="0"/>
        <item h="1" m="1" x="1"/>
      </items>
    </pivotField>
    <pivotField dataField="1" compact="0" numFmtId="165" showAll="0" defaultSubtotal="0"/>
    <pivotField dataField="1" compact="0" numFmtId="165" showAll="0" defaultSubtotal="0"/>
    <pivotField dataField="1" compact="0" numFmtId="165" showAll="0" defaultSubtotal="0"/>
    <pivotField compact="0" numFmtId="165" showAll="0" defaultSubtotal="0"/>
    <pivotField compact="0" numFmtId="165" showAll="0" defaultSubtotal="0"/>
    <pivotField compact="0" showAll="0" defaultSubtotal="0"/>
    <pivotField compact="0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5" showAll="0" defaultSubtotal="0"/>
    <pivotField compact="0" numFmtId="164" showAll="0" defaultSubtotal="0"/>
    <pivotField compact="0" numFmtId="164" showAll="0" defaultSubtotal="0"/>
    <pivotField compact="0" showAll="0" defaultSubtotal="0"/>
  </pivotFields>
  <rowFields count="3">
    <field x="2"/>
    <field x="5"/>
    <field x="6"/>
  </rowFields>
  <rowItems count="1"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9" hier="-1"/>
  </pageFields>
  <dataFields count="4">
    <dataField name=" Unit Price" fld="10" baseField="6" baseItem="17" numFmtId="175"/>
    <dataField name=" Discount" fld="8" subtotal="average" baseField="2" baseItem="4" numFmtId="9"/>
    <dataField name=" Unit Disc. Price" fld="11" baseField="6" baseItem="1" numFmtId="175"/>
    <dataField name=" Ext. Disc. Price" fld="12" baseField="6" baseItem="1" numFmtId="175"/>
  </dataFields>
  <formats count="113">
    <format dxfId="263">
      <pivotArea outline="0" fieldPosition="0">
        <references count="1">
          <reference field="4294967294" count="1">
            <x v="0"/>
          </reference>
        </references>
      </pivotArea>
    </format>
    <format dxfId="262">
      <pivotArea outline="0" fieldPosition="0">
        <references count="1">
          <reference field="4294967294" count="1">
            <x v="1"/>
          </reference>
        </references>
      </pivotArea>
    </format>
    <format dxfId="261">
      <pivotArea dataOnly="0" labelOnly="1" fieldPosition="0">
        <references count="1">
          <reference field="5" count="0"/>
        </references>
      </pivotArea>
    </format>
    <format dxfId="260">
      <pivotArea dataOnly="0" labelOnly="1" outline="0" fieldPosition="0">
        <references count="2">
          <reference field="2" count="1" selected="0">
            <x v="4"/>
          </reference>
          <reference field="6" count="1">
            <x v="1"/>
          </reference>
        </references>
      </pivotArea>
    </format>
    <format dxfId="259">
      <pivotArea dataOnly="0" labelOnly="1" outline="0" fieldPosition="0">
        <references count="2">
          <reference field="2" count="1" selected="0">
            <x v="4"/>
          </reference>
          <reference field="6" count="1">
            <x v="2"/>
          </reference>
        </references>
      </pivotArea>
    </format>
    <format dxfId="258">
      <pivotArea dataOnly="0" labelOnly="1" outline="0" fieldPosition="0">
        <references count="2">
          <reference field="2" count="1" selected="0">
            <x v="4"/>
          </reference>
          <reference field="6" count="1">
            <x v="8"/>
          </reference>
        </references>
      </pivotArea>
    </format>
    <format dxfId="257">
      <pivotArea dataOnly="0" labelOnly="1" outline="0" fieldPosition="0">
        <references count="2">
          <reference field="2" count="1" selected="0">
            <x v="4"/>
          </reference>
          <reference field="6" count="1">
            <x v="11"/>
          </reference>
        </references>
      </pivotArea>
    </format>
    <format dxfId="256">
      <pivotArea dataOnly="0" labelOnly="1" outline="0" fieldPosition="0">
        <references count="2">
          <reference field="2" count="1" selected="0">
            <x v="4"/>
          </reference>
          <reference field="6" count="1">
            <x v="17"/>
          </reference>
        </references>
      </pivotArea>
    </format>
    <format dxfId="255">
      <pivotArea dataOnly="0" labelOnly="1" outline="0" fieldPosition="0">
        <references count="2">
          <reference field="2" count="1" selected="0">
            <x v="4"/>
          </reference>
          <reference field="6" count="1">
            <x v="19"/>
          </reference>
        </references>
      </pivotArea>
    </format>
    <format dxfId="254">
      <pivotArea dataOnly="0" labelOnly="1" outline="0" fieldPosition="0">
        <references count="2">
          <reference field="2" count="1" selected="0">
            <x v="6"/>
          </reference>
          <reference field="6" count="1">
            <x v="1"/>
          </reference>
        </references>
      </pivotArea>
    </format>
    <format dxfId="253">
      <pivotArea dataOnly="0" labelOnly="1" outline="0" fieldPosition="0">
        <references count="3">
          <reference field="2" count="1" selected="0">
            <x v="4"/>
          </reference>
          <reference field="5" count="2">
            <x v="29"/>
            <x v="48"/>
          </reference>
          <reference field="6" count="1" selected="0">
            <x v="1"/>
          </reference>
        </references>
      </pivotArea>
    </format>
    <format dxfId="252">
      <pivotArea dataOnly="0" labelOnly="1" outline="0" fieldPosition="0">
        <references count="3">
          <reference field="2" count="1" selected="0">
            <x v="4"/>
          </reference>
          <reference field="5" count="1">
            <x v="30"/>
          </reference>
          <reference field="6" count="1" selected="0">
            <x v="2"/>
          </reference>
        </references>
      </pivotArea>
    </format>
    <format dxfId="251">
      <pivotArea dataOnly="0" labelOnly="1" outline="0" fieldPosition="0">
        <references count="3">
          <reference field="2" count="1" selected="0">
            <x v="4"/>
          </reference>
          <reference field="5" count="1">
            <x v="15"/>
          </reference>
          <reference field="6" count="1" selected="0">
            <x v="8"/>
          </reference>
        </references>
      </pivotArea>
    </format>
    <format dxfId="250">
      <pivotArea dataOnly="0" labelOnly="1" outline="0" fieldPosition="0">
        <references count="3">
          <reference field="2" count="1" selected="0">
            <x v="4"/>
          </reference>
          <reference field="5" count="1">
            <x v="36"/>
          </reference>
          <reference field="6" count="1" selected="0">
            <x v="11"/>
          </reference>
        </references>
      </pivotArea>
    </format>
    <format dxfId="249">
      <pivotArea dataOnly="0" labelOnly="1" outline="0" fieldPosition="0">
        <references count="3">
          <reference field="2" count="1" selected="0">
            <x v="4"/>
          </reference>
          <reference field="5" count="1">
            <x v="26"/>
          </reference>
          <reference field="6" count="1" selected="0">
            <x v="17"/>
          </reference>
        </references>
      </pivotArea>
    </format>
    <format dxfId="248">
      <pivotArea dataOnly="0" labelOnly="1" outline="0" fieldPosition="0">
        <references count="3">
          <reference field="2" count="1" selected="0">
            <x v="4"/>
          </reference>
          <reference field="5" count="1">
            <x v="31"/>
          </reference>
          <reference field="6" count="1" selected="0">
            <x v="19"/>
          </reference>
        </references>
      </pivotArea>
    </format>
    <format dxfId="247">
      <pivotArea dataOnly="0" labelOnly="1" outline="0" fieldPosition="0">
        <references count="3">
          <reference field="2" count="1" selected="0">
            <x v="6"/>
          </reference>
          <reference field="5" count="1">
            <x v="39"/>
          </reference>
          <reference field="6" count="1" selected="0">
            <x v="1"/>
          </reference>
        </references>
      </pivotArea>
    </format>
    <format dxfId="246">
      <pivotArea field="5" type="button" dataOnly="0" labelOnly="1" outline="0" axis="axisRow" fieldPosition="1"/>
    </format>
    <format dxfId="245">
      <pivotArea field="6" type="button" dataOnly="0" labelOnly="1" outline="0" axis="axisRow" fieldPosition="2"/>
    </format>
    <format dxfId="244">
      <pivotArea dataOnly="0" labelOnly="1" outline="0" fieldPosition="0">
        <references count="1">
          <reference field="2" count="1">
            <x v="4"/>
          </reference>
        </references>
      </pivotArea>
    </format>
    <format dxfId="243">
      <pivotArea dataOnly="0" labelOnly="1" outline="0" fieldPosition="0">
        <references count="1">
          <reference field="2" count="1">
            <x v="6"/>
          </reference>
        </references>
      </pivotArea>
    </format>
    <format dxfId="242">
      <pivotArea dataOnly="0" labelOnly="1" grandRow="1" outline="0" fieldPosition="0"/>
    </format>
    <format dxfId="24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4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3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3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3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3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3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34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33">
      <pivotArea outline="0" fieldPosition="0">
        <references count="1">
          <reference field="4294967294" count="1" selected="0">
            <x v="1"/>
          </reference>
        </references>
      </pivotArea>
    </format>
    <format dxfId="2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1">
      <pivotArea type="all" dataOnly="0" outline="0" fieldPosition="0"/>
    </format>
    <format dxfId="230">
      <pivotArea outline="0" collapsedLevelsAreSubtotals="1" fieldPosition="0"/>
    </format>
    <format dxfId="229">
      <pivotArea field="2" type="button" dataOnly="0" labelOnly="1" outline="0" axis="axisRow" fieldPosition="0"/>
    </format>
    <format dxfId="228">
      <pivotArea field="5" type="button" dataOnly="0" labelOnly="1" outline="0" axis="axisRow" fieldPosition="1"/>
    </format>
    <format dxfId="227">
      <pivotArea field="6" type="button" dataOnly="0" labelOnly="1" outline="0" axis="axisRow" fieldPosition="2"/>
    </format>
    <format dxfId="226">
      <pivotArea dataOnly="0" labelOnly="1" outline="0" fieldPosition="0">
        <references count="1">
          <reference field="2" count="2">
            <x v="4"/>
            <x v="6"/>
          </reference>
        </references>
      </pivotArea>
    </format>
    <format dxfId="225">
      <pivotArea dataOnly="0" labelOnly="1" grandRow="1" outline="0" fieldPosition="0"/>
    </format>
    <format dxfId="224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23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2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2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2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21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21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21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21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215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2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13">
      <pivotArea dataOnly="0" labelOnly="1" fieldPosition="0">
        <references count="1">
          <reference field="2" count="1">
            <x v="4"/>
          </reference>
        </references>
      </pivotArea>
    </format>
    <format dxfId="212">
      <pivotArea dataOnly="0" labelOnly="1" fieldPosition="0">
        <references count="1">
          <reference field="2" count="1">
            <x v="6"/>
          </reference>
        </references>
      </pivotArea>
    </format>
    <format dxfId="211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10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09">
      <pivotArea type="all" dataOnly="0" outline="0" fieldPosition="0"/>
    </format>
    <format dxfId="208">
      <pivotArea field="2" type="button" dataOnly="0" labelOnly="1" outline="0" axis="axisRow" fieldPosition="0"/>
    </format>
    <format dxfId="207">
      <pivotArea field="6" type="button" dataOnly="0" labelOnly="1" outline="0" axis="axisRow" fieldPosition="2"/>
    </format>
    <format dxfId="206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205">
      <pivotArea dataOnly="0" labelOnly="1" grandRow="1" outline="0" fieldPosition="0"/>
    </format>
    <format dxfId="204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203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202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201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20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19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19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19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19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195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9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3">
      <pivotArea field="9" type="button" dataOnly="0" labelOnly="1" outline="0" axis="axisPage" fieldPosition="0"/>
    </format>
    <format dxfId="192">
      <pivotArea field="2" type="button" dataOnly="0" labelOnly="1" outline="0" axis="axisRow" fieldPosition="0"/>
    </format>
    <format dxfId="191">
      <pivotArea dataOnly="0" labelOnly="1" fieldPosition="0">
        <references count="1">
          <reference field="2" count="1">
            <x v="4"/>
          </reference>
        </references>
      </pivotArea>
    </format>
    <format dxfId="190">
      <pivotArea dataOnly="0" labelOnly="1" fieldPosition="0">
        <references count="1">
          <reference field="2" count="1">
            <x v="6"/>
          </reference>
        </references>
      </pivotArea>
    </format>
    <format dxfId="189">
      <pivotArea dataOnly="0" labelOnly="1" grandRow="1" outline="0" fieldPosition="0"/>
    </format>
    <format dxfId="188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187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186">
      <pivotArea outline="0" fieldPosition="0">
        <references count="1">
          <reference field="4294967294" count="1" selected="0">
            <x v="0"/>
          </reference>
        </references>
      </pivotArea>
    </format>
    <format dxfId="185">
      <pivotArea field="2" type="button" dataOnly="0" labelOnly="1" outline="0" axis="axisRow" fieldPosition="0"/>
    </format>
    <format dxfId="184">
      <pivotArea field="6" type="button" dataOnly="0" labelOnly="1" outline="0" axis="axisRow" fieldPosition="2"/>
    </format>
    <format dxfId="183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182">
      <pivotArea dataOnly="0" labelOnly="1" grandRow="1" outline="0" fieldPosition="0"/>
    </format>
    <format dxfId="181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180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17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17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17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17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17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17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173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172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0">
      <pivotArea outline="0" fieldPosition="0">
        <references count="1">
          <reference field="4294967294" count="1" selected="0">
            <x v="0"/>
          </reference>
        </references>
      </pivotArea>
    </format>
    <format dxfId="1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2" type="button" dataOnly="0" labelOnly="1" outline="0" axis="axisRow" fieldPosition="0"/>
    </format>
    <format dxfId="165">
      <pivotArea field="6" type="button" dataOnly="0" labelOnly="1" outline="0" axis="axisRow" fieldPosition="2"/>
    </format>
    <format dxfId="164">
      <pivotArea dataOnly="0" labelOnly="1" fieldPosition="0">
        <references count="1">
          <reference field="2" count="2">
            <x v="4"/>
            <x v="6"/>
          </reference>
        </references>
      </pivotArea>
    </format>
    <format dxfId="163">
      <pivotArea dataOnly="0" labelOnly="1" grandRow="1" outline="0" fieldPosition="0"/>
    </format>
    <format dxfId="162">
      <pivotArea dataOnly="0" labelOnly="1" fieldPosition="0">
        <references count="2">
          <reference field="2" count="1" selected="0">
            <x v="4"/>
          </reference>
          <reference field="5" count="7">
            <x v="15"/>
            <x v="26"/>
            <x v="29"/>
            <x v="30"/>
            <x v="31"/>
            <x v="36"/>
            <x v="48"/>
          </reference>
        </references>
      </pivotArea>
    </format>
    <format dxfId="161">
      <pivotArea dataOnly="0" labelOnly="1" fieldPosition="0">
        <references count="2">
          <reference field="2" count="1" selected="0">
            <x v="6"/>
          </reference>
          <reference field="5" count="1">
            <x v="39"/>
          </reference>
        </references>
      </pivotArea>
    </format>
    <format dxfId="160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15"/>
          </reference>
          <reference field="6" count="1">
            <x v="8"/>
          </reference>
        </references>
      </pivotArea>
    </format>
    <format dxfId="159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6"/>
          </reference>
          <reference field="6" count="1">
            <x v="17"/>
          </reference>
        </references>
      </pivotArea>
    </format>
    <format dxfId="158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29"/>
          </reference>
          <reference field="6" count="1">
            <x v="1"/>
          </reference>
        </references>
      </pivotArea>
    </format>
    <format dxfId="157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0"/>
          </reference>
          <reference field="6" count="1">
            <x v="2"/>
          </reference>
        </references>
      </pivotArea>
    </format>
    <format dxfId="156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1"/>
          </reference>
          <reference field="6" count="1">
            <x v="19"/>
          </reference>
        </references>
      </pivotArea>
    </format>
    <format dxfId="155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36"/>
          </reference>
          <reference field="6" count="1">
            <x v="11"/>
          </reference>
        </references>
      </pivotArea>
    </format>
    <format dxfId="154">
      <pivotArea dataOnly="0" labelOnly="1" outline="0" fieldPosition="0">
        <references count="3">
          <reference field="2" count="1" selected="0">
            <x v="4"/>
          </reference>
          <reference field="5" count="1" selected="0">
            <x v="48"/>
          </reference>
          <reference field="6" count="1">
            <x v="1"/>
          </reference>
        </references>
      </pivotArea>
    </format>
    <format dxfId="153">
      <pivotArea dataOnly="0" labelOnly="1" outline="0" fieldPosition="0">
        <references count="3">
          <reference field="2" count="1" selected="0">
            <x v="6"/>
          </reference>
          <reference field="5" count="1" selected="0">
            <x v="39"/>
          </reference>
          <reference field="6" count="1">
            <x v="1"/>
          </reference>
        </references>
      </pivotArea>
    </format>
    <format dxfId="15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51">
      <pivotArea dataOnly="0" labelOnly="1" outline="0" fieldPosition="0">
        <references count="1">
          <reference field="9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5BE08-F98D-484F-8493-BACB736BA7BF}" name="PivotTable6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compact="0" compactData="0" multipleFieldFilters="0">
  <location ref="C14:C15" firstHeaderRow="1" firstDataRow="1" firstDataCol="0" rowPageCount="1" colPageCount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compact="0" outline="0" showAll="0"/>
    <pivotField compact="0" numFmtId="9" outline="0" showAll="0"/>
    <pivotField axis="axisPage" compact="0" outline="0" showAll="0">
      <items count="7">
        <item m="1" x="4"/>
        <item m="1" x="2"/>
        <item m="1" x="5"/>
        <item m="1" x="3"/>
        <item x="0"/>
        <item m="1" x="1"/>
        <item t="default"/>
      </items>
    </pivotField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4" outline="0" showAll="0"/>
    <pivotField dataField="1" compact="0" numFmtId="164" outline="0" showAll="0"/>
    <pivotField compact="0" outline="0" showAll="0"/>
  </pivotFields>
  <rowItems count="1">
    <i/>
  </rowItems>
  <colItems count="1">
    <i/>
  </colItems>
  <pageFields count="1">
    <pageField fld="9" item="4" hier="-1"/>
  </pageFields>
  <dataFields count="1">
    <dataField name="  Monthly Price per Site" fld="22" baseField="0" baseItem="1478900880" numFmtId="175"/>
  </dataFields>
  <formats count="28">
    <format dxfId="291">
      <pivotArea dataOnly="0" labelOnly="1" outline="0" fieldPosition="0">
        <references count="1">
          <reference field="9" count="1">
            <x v="0"/>
          </reference>
        </references>
      </pivotArea>
    </format>
    <format dxfId="290">
      <pivotArea type="all" dataOnly="0" outline="0" fieldPosition="0"/>
    </format>
    <format dxfId="289">
      <pivotArea outline="0" collapsedLevelsAreSubtotals="1" fieldPosition="0"/>
    </format>
    <format dxfId="288">
      <pivotArea dataOnly="0" labelOnly="1" outline="0" axis="axisValues" fieldPosition="0"/>
    </format>
    <format dxfId="287">
      <pivotArea dataOnly="0" labelOnly="1" outline="0" axis="axisValues" fieldPosition="0"/>
    </format>
    <format dxfId="286">
      <pivotArea type="all" dataOnly="0" outline="0" fieldPosition="0"/>
    </format>
    <format dxfId="285">
      <pivotArea outline="0" collapsedLevelsAreSubtotals="1" fieldPosition="0"/>
    </format>
    <format dxfId="284">
      <pivotArea dataOnly="0" labelOnly="1" outline="0" axis="axisValues" fieldPosition="0"/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dataOnly="0" labelOnly="1" outline="0" axis="axisValues" fieldPosition="0"/>
    </format>
    <format dxfId="280">
      <pivotArea type="all" dataOnly="0" outline="0" fieldPosition="0"/>
    </format>
    <format dxfId="279">
      <pivotArea outline="0" collapsedLevelsAreSubtotals="1" fieldPosition="0"/>
    </format>
    <format dxfId="278">
      <pivotArea dataOnly="0" labelOnly="1" outline="0" axis="axisValues" fieldPosition="0"/>
    </format>
    <format dxfId="277">
      <pivotArea type="all" dataOnly="0" outline="0" fieldPosition="0"/>
    </format>
    <format dxfId="276">
      <pivotArea outline="0" collapsedLevelsAreSubtotals="1" fieldPosition="0"/>
    </format>
    <format dxfId="275">
      <pivotArea dataOnly="0" labelOnly="1" outline="0" axis="axisValues" fieldPosition="0"/>
    </format>
    <format dxfId="274">
      <pivotArea type="all" dataOnly="0" outline="0" fieldPosition="0"/>
    </format>
    <format dxfId="273">
      <pivotArea outline="0" collapsedLevelsAreSubtotals="1" fieldPosition="0"/>
    </format>
    <format dxfId="272">
      <pivotArea dataOnly="0" labelOnly="1" outline="0" axis="axisValues" fieldPosition="0"/>
    </format>
    <format dxfId="271">
      <pivotArea type="all" dataOnly="0" outline="0" fieldPosition="0"/>
    </format>
    <format dxfId="270">
      <pivotArea outline="0" collapsedLevelsAreSubtotals="1" fieldPosition="0"/>
    </format>
    <format dxfId="269">
      <pivotArea field="9" type="button" dataOnly="0" labelOnly="1" outline="0" axis="axisPage" fieldPosition="0"/>
    </format>
    <format dxfId="268">
      <pivotArea dataOnly="0" labelOnly="1" outline="0" axis="axisValues" fieldPosition="0"/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field="9" type="button" dataOnly="0" labelOnly="1" outline="0" axis="axisPage" fieldPosition="0"/>
    </format>
    <format dxfId="264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88BB1-1A65-4D09-91A4-15FB90B4172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3:D16" firstHeaderRow="1" firstDataRow="2" firstDataCol="1"/>
  <pivotFields count="6">
    <pivotField dataField="1" showAll="0"/>
    <pivotField showAll="0"/>
    <pivotField showAll="0"/>
    <pivotField showAll="0"/>
    <pivotField axis="axisRow" showAll="0">
      <items count="9">
        <item x="6"/>
        <item h="1" x="0"/>
        <item h="1" x="1"/>
        <item h="1" x="7"/>
        <item h="1" x="2"/>
        <item h="1" x="3"/>
        <item h="1" x="4"/>
        <item h="1" x="5"/>
        <item t="default"/>
      </items>
    </pivotField>
    <pivotField axis="axisCol" showAll="0">
      <items count="6">
        <item h="1" x="0"/>
        <item h="1" x="1"/>
        <item x="3"/>
        <item h="1" x="4"/>
        <item h="1" x="2"/>
        <item t="default"/>
      </items>
    </pivotField>
  </pivotFields>
  <rowFields count="1">
    <field x="4"/>
  </rowFields>
  <rowItems count="2">
    <i>
      <x/>
    </i>
    <i t="grand">
      <x/>
    </i>
  </rowItems>
  <colFields count="1">
    <field x="5"/>
  </colFields>
  <colItems count="2">
    <i>
      <x v="2"/>
    </i>
    <i t="grand">
      <x/>
    </i>
  </colItems>
  <dataFields count="1">
    <dataField name="Count of Hughes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71ABB-8E3D-4D70-9D05-96F8A27AD49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G11" firstHeaderRow="1" firstDataRow="2" firstDataCol="1"/>
  <pivotFields count="6">
    <pivotField dataField="1" showAll="0"/>
    <pivotField showAll="0"/>
    <pivotField showAll="0"/>
    <pivotField showAll="0"/>
    <pivotField axis="axisRow" showAll="0">
      <items count="9">
        <item h="1" x="6"/>
        <item x="0"/>
        <item x="1"/>
        <item x="7"/>
        <item x="2"/>
        <item x="3"/>
        <item x="4"/>
        <item x="5"/>
        <item t="default"/>
      </items>
    </pivotField>
    <pivotField axis="axisCol" showAll="0">
      <items count="6">
        <item x="0"/>
        <item x="1"/>
        <item h="1" x="3"/>
        <item x="4"/>
        <item x="2"/>
        <item t="default"/>
      </items>
    </pivotField>
  </pivotFields>
  <rowFields count="1">
    <field x="4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5">
    <i>
      <x/>
    </i>
    <i>
      <x v="1"/>
    </i>
    <i>
      <x v="3"/>
    </i>
    <i>
      <x v="4"/>
    </i>
    <i t="grand">
      <x/>
    </i>
  </colItems>
  <dataFields count="1">
    <dataField name="Count of Hughes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en-US</v>
    <v>avyrnm</v>
    <v>268435456</v>
    <v>1</v>
    <v>Powered by Refinitiv</v>
    <v>0</v>
    <v>USD/PEN</v>
    <v>2</v>
    <v>3</v>
    <v>Finance</v>
    <v>4</v>
    <v>3.8513000000000002</v>
    <v>3.61</v>
    <v>-1.7000000000000001E-2</v>
    <v>-4.6080000000000001E-3</v>
    <v>PEN</v>
    <v>USD</v>
    <v>3.6890000000000001</v>
    <v>Currency Pair</v>
    <v>45771.755740740744</v>
    <v>3.6720000000000002</v>
    <v>US Dollar/Peruvian Sol FX Spot Rate</v>
    <v>3.6852999999999998</v>
    <v>3.6890000000000001</v>
    <v>3.6720000000000002</v>
    <v>USDPEN</v>
    <v>USD/PEN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0" formatCode="General"/>
    </x:dxf>
    <x:dxf>
      <x:numFmt numFmtId="14" formatCode="0.00%"/>
    </x:dxf>
    <x:dxf>
      <x:numFmt numFmtId="27" formatCode="d/mm/yyyy\ hh:mm"/>
    </x:dxf>
    <x:dxf>
      <x:numFmt numFmtId="2" formatCode="0.00"/>
    </x:dxf>
  </dxfs>
  <richProperties>
    <rPr n="NumberFormat" t="s"/>
    <rPr n="IsTitleField" t="b"/>
  </richProperties>
  <richStyles>
    <rSty dxfid="0">
      <rpv i="0">_-[$S/-es-PE] * #,##0.00_-;-[$S/-es-PE] * #,##0.00_-;_-[$S/-es-PE] * "-"??_-;_-@_-</rpv>
    </rSty>
    <rSty>
      <rpv i="1">1</rpv>
    </rSty>
    <rSty dxfid="1"/>
    <rSty dxfid="2"/>
    <rSty dxfid="3">
      <rpv i="0">0.00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25167-0865-4499-940C-1EE867D43FA6}" name="Table1" displayName="Table1" ref="A24:X25" totalsRowShown="0" headerRowDxfId="327" dataDxfId="326">
  <autoFilter ref="A24:X25" xr:uid="{D9B25167-0865-4499-940C-1EE867D43FA6}"/>
  <tableColumns count="24">
    <tableColumn id="1" xr3:uid="{2705889D-3DA4-4EF4-AB9F-467FA890FC67}" name="Type" dataDxfId="325"/>
    <tableColumn id="2" xr3:uid="{00932E24-F67B-4DD1-9399-836F67A1E73D}" name="Category" dataDxfId="324"/>
    <tableColumn id="3" xr3:uid="{F7171380-87A8-40CC-B230-54FF8BA2BE4F}" name="Subcategory" dataDxfId="323"/>
    <tableColumn id="4" xr3:uid="{C898460D-CAF5-448B-BE85-63E8C69FFD95}" name="Manufacturer Part #" dataDxfId="322"/>
    <tableColumn id="5" xr3:uid="{6AA1ED7A-E035-4821-8ADA-58E9012A0693}" name="Product Code" dataDxfId="321"/>
    <tableColumn id="6" xr3:uid="{91634C05-5A2D-41B9-8CD5-E97640E5B31B}" name="Description" dataDxfId="320"/>
    <tableColumn id="7" xr3:uid="{B7B03007-F4B4-4DAF-8CEE-9B88FA537198}" name="Qty" dataDxfId="319"/>
    <tableColumn id="22" xr3:uid="{51F86B8B-8351-43D4-966D-311CF2E16BBB}" name="Unit of Measure" dataDxfId="318"/>
    <tableColumn id="15" xr3:uid="{E1CA72ED-5BCD-4144-98A2-BC6838ECD1C7}" name="Discount" dataDxfId="317" dataCellStyle="Porcentaje"/>
    <tableColumn id="23" xr3:uid="{AD2B6EF2-B7B1-4460-BE07-AD9904439E9E}" name="Finance?" dataDxfId="316"/>
    <tableColumn id="26" xr3:uid="{3B98063B-191A-4791-8E64-2144DB8F34EA}" name="Unit Price" dataDxfId="315"/>
    <tableColumn id="17" xr3:uid="{27E6A421-6000-4452-AF4D-83F495028D7E}" name="Unit Disc. Price" dataDxfId="314">
      <calculatedColumnFormula>Table1[[#This Row],[Unit Price]]*(1-Table1[[#This Row],[Discount]])</calculatedColumnFormula>
    </tableColumn>
    <tableColumn id="16" xr3:uid="{B7A3CEFA-F34C-4092-8D55-23699B6A9A8E}" name="Ext. Disc. Price" dataDxfId="313">
      <calculatedColumnFormula>IF(Table1[[#This Row],[Type]]="OPEX",$C$19,1)*Table1[[#This Row],[Unit Disc. Price]]*Table1[[#This Row],[Qty]]</calculatedColumnFormula>
    </tableColumn>
    <tableColumn id="10" xr3:uid="{766035EE-1916-4F09-8438-D90E209CEE7E}" name="Unit Cost" dataDxfId="312"/>
    <tableColumn id="11" xr3:uid="{19884C30-8875-49CB-8A2C-EDAF8A2C9194}" name="Ext. Cost" dataDxfId="311">
      <calculatedColumnFormula>IF(Table1[[#This Row],[Type]]="OPEX",$C$19,1)*Table1[[#This Row],[Unit Cost]]*Table1[[#This Row],[Qty]]</calculatedColumnFormula>
    </tableColumn>
    <tableColumn id="12" xr3:uid="{6AA2A8A2-E226-4832-B835-ED90DC56AD6E}" name="Profit Margin" dataDxfId="310">
      <calculatedColumnFormula>1-(Table1[[#This Row],[Ext. Cost]]/Table1[[#This Row],[Ext. Disc. Price]])</calculatedColumnFormula>
    </tableColumn>
    <tableColumn id="13" xr3:uid="{31864868-80A5-4593-A4E9-B9691234E225}" name="Owner" dataDxfId="309"/>
    <tableColumn id="20" xr3:uid="{A0380E78-4D2A-45B7-A283-DF984590C586}" name="Monthly Price per Site" dataDxfId="308">
      <calculatedColumnFormula>Table1[[#This Row],[Ext. Disc. Price]]/$C$7/$C$19</calculatedColumnFormula>
    </tableColumn>
    <tableColumn id="18" xr3:uid="{B043EF5D-2240-45CD-A20F-015B5C358597}" name="Monthly Cost per Site" dataDxfId="307">
      <calculatedColumnFormula>Table1[[#This Row],[Ext. Cost]]/$C$7/$C$19</calculatedColumnFormula>
    </tableColumn>
    <tableColumn id="21" xr3:uid="{D8C5B6B1-FF26-4725-B8A7-2E547E9F502B}" name="Monthly Price per Mbps" dataDxfId="306">
      <calculatedColumnFormula>Table1[[#This Row],[Ext. Disc. Price]]/$C$13/$C$19</calculatedColumnFormula>
    </tableColumn>
    <tableColumn id="19" xr3:uid="{B2D752C1-EB9D-44EA-93B5-CCFE6EE9791B}" name="Monthly Cost per Mbps" dataDxfId="305">
      <calculatedColumnFormula>Table1[[#This Row],[Ext. Cost]]/$C$13/$C$19</calculatedColumnFormula>
    </tableColumn>
    <tableColumn id="24" xr3:uid="{197CE91D-4277-4A6D-A3BC-A3CDA0CD2F17}" name="Financed CAPEX" dataDxfId="304">
      <calculatedColumnFormula>IF(AND(Table1[[#This Row],[Type]]="CAPEX",Table1[[#This Row],[Finance?]]="MRC"),PMT($C$21/12,$C$19,-Table1[[#This Row],[Ext. Disc. Price]]),0)</calculatedColumnFormula>
    </tableColumn>
    <tableColumn id="25" xr3:uid="{C11FB01A-CE3F-4A75-A217-03973DFEF1A0}" name="Financed Monthly Price per Site" dataDxfId="303">
      <calculatedColumnFormula>IF(AND(Table1[[#This Row],[Type]]="CAPEX",Table1[[#This Row],[Finance?]]="MRC"),PMT($C$21/12,$C$19,-Table1[[#This Row],[Ext. Disc. Price]])/$C$7,IF(Table1[[#This Row],[Type]]="OPEX",Table1[[#This Row],[Ext. Disc. Price]]/$C$7/$C$19,0))</calculatedColumnFormula>
    </tableColumn>
    <tableColumn id="14" xr3:uid="{9BB5BBD1-6235-4439-9FB0-77F21C2AE234}" name="Notes" dataDxfId="30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7" dT="2023-07-19T15:47:09.79" personId="{770C1132-3992-4262-9B0F-7860D492C0F8}" id="{9308ADC0-CA01-47E7-9BBC-E18A736C7F26}">
    <text>Added $3M for Call Center</text>
  </threadedComment>
  <threadedComment ref="I15" dT="2023-07-19T16:36:21.87" personId="{770C1132-3992-4262-9B0F-7860D492C0F8}" id="{F36818F9-0A6F-4D87-AA61-572D711CBBD1}">
    <text>6 Kbps</text>
  </threadedComment>
  <threadedComment ref="I16" dT="2023-07-19T16:36:21.87" personId="{770C1132-3992-4262-9B0F-7860D492C0F8}" id="{2C1F3146-8DC4-4721-80A7-05FDD5C47BD8}">
    <text>6 Kbps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A450-E6AD-461C-BEC3-19D84149130E}">
  <sheetPr>
    <tabColor rgb="FF92D050"/>
  </sheetPr>
  <dimension ref="A1:R192"/>
  <sheetViews>
    <sheetView topLeftCell="A17" zoomScale="90" zoomScaleNormal="90" workbookViewId="0">
      <selection activeCell="A61" sqref="A61:E61"/>
    </sheetView>
  </sheetViews>
  <sheetFormatPr baseColWidth="10" defaultColWidth="11.5703125" defaultRowHeight="12" outlineLevelRow="3" x14ac:dyDescent="0.2"/>
  <cols>
    <col min="1" max="2" width="11.28515625" style="4" customWidth="1"/>
    <col min="3" max="3" width="35" style="4" customWidth="1"/>
    <col min="4" max="4" width="12" style="4" customWidth="1"/>
    <col min="5" max="5" width="39.140625" style="71" customWidth="1"/>
    <col min="6" max="6" width="7" style="3" customWidth="1"/>
    <col min="7" max="7" width="17.5703125" style="48" customWidth="1"/>
    <col min="8" max="8" width="21.140625" style="48" customWidth="1"/>
    <col min="9" max="10" width="16.28515625" style="48" customWidth="1"/>
    <col min="11" max="11" width="21.5703125" style="48" customWidth="1"/>
    <col min="12" max="12" width="26.5703125" style="48" customWidth="1"/>
    <col min="13" max="13" width="11.5703125" style="48"/>
    <col min="14" max="14" width="17.85546875" style="4" customWidth="1"/>
    <col min="15" max="16" width="15.85546875" style="4" customWidth="1"/>
    <col min="17" max="17" width="11.5703125" style="4" customWidth="1"/>
    <col min="18" max="16384" width="11.5703125" style="4"/>
  </cols>
  <sheetData>
    <row r="1" spans="1:13" ht="23.25" x14ac:dyDescent="0.2">
      <c r="A1" s="168" t="s">
        <v>157</v>
      </c>
      <c r="B1" s="168"/>
      <c r="C1" s="168"/>
      <c r="D1" s="168"/>
      <c r="E1" s="168"/>
      <c r="F1" s="168"/>
      <c r="G1" s="156"/>
      <c r="H1" s="156"/>
      <c r="I1" s="156"/>
      <c r="J1" s="156"/>
      <c r="K1" s="156"/>
      <c r="L1" s="156"/>
    </row>
    <row r="2" spans="1:13" x14ac:dyDescent="0.2">
      <c r="C2" s="4">
        <v>5</v>
      </c>
    </row>
    <row r="3" spans="1:13" x14ac:dyDescent="0.2">
      <c r="C3" s="4">
        <v>5</v>
      </c>
    </row>
    <row r="4" spans="1:13" ht="15" x14ac:dyDescent="0.25">
      <c r="A4" s="259"/>
      <c r="B4" s="259"/>
      <c r="C4" s="169">
        <v>5</v>
      </c>
      <c r="D4" s="169"/>
      <c r="G4" s="116"/>
      <c r="H4" s="109" t="s">
        <v>74</v>
      </c>
      <c r="I4" s="109" t="s">
        <v>73</v>
      </c>
      <c r="J4" s="109" t="s">
        <v>145</v>
      </c>
      <c r="L4" s="48" t="s">
        <v>212</v>
      </c>
      <c r="M4" s="134" t="e">
        <f>#REF!+#REF!+#REF!+#REF!+#REF!+#REF!+#REF!+#REF!+#REF!</f>
        <v>#REF!</v>
      </c>
    </row>
    <row r="5" spans="1:13" ht="15" x14ac:dyDescent="0.25">
      <c r="A5" s="259"/>
      <c r="B5" s="259"/>
      <c r="C5" s="50">
        <v>5</v>
      </c>
      <c r="D5" s="51" t="e">
        <f>#REF!+#REF!</f>
        <v>#REF!</v>
      </c>
      <c r="G5" s="217" t="s">
        <v>0</v>
      </c>
      <c r="H5" s="110" t="e">
        <f>SUMIF(A23:A132,"CAPEX",H23:H132)</f>
        <v>#REF!</v>
      </c>
      <c r="I5" s="110" t="e">
        <f>SUMIF(A23:A132,"CAPEX",J23:J132)</f>
        <v>#REF!</v>
      </c>
      <c r="J5" s="111" t="e">
        <f>1-(I5/H5)</f>
        <v>#REF!</v>
      </c>
      <c r="L5" s="48" t="s">
        <v>213</v>
      </c>
      <c r="M5" s="134" t="e">
        <f>#REF!-J84</f>
        <v>#REF!</v>
      </c>
    </row>
    <row r="6" spans="1:13" ht="24" x14ac:dyDescent="0.25">
      <c r="A6" s="259"/>
      <c r="B6" s="259"/>
      <c r="C6" s="50">
        <v>5</v>
      </c>
      <c r="D6" s="52" t="e">
        <f>#REF!+#REF!</f>
        <v>#REF!</v>
      </c>
      <c r="G6" s="217" t="s">
        <v>1</v>
      </c>
      <c r="H6" s="110" t="e">
        <f>SUMIF(A23:A132,"OPEX",H23:H132)</f>
        <v>#REF!</v>
      </c>
      <c r="I6" s="110" t="e">
        <f>SUMIF(A23:A132,"OPEX",J23:J132)</f>
        <v>#REF!</v>
      </c>
      <c r="J6" s="111" t="e">
        <f>1-(I6/H6)</f>
        <v>#REF!</v>
      </c>
      <c r="L6" s="41" t="s">
        <v>11</v>
      </c>
      <c r="M6" s="134" t="e">
        <f>J84</f>
        <v>#REF!</v>
      </c>
    </row>
    <row r="7" spans="1:13" ht="15" x14ac:dyDescent="0.25">
      <c r="A7" s="259"/>
      <c r="B7" s="259"/>
      <c r="C7" s="50">
        <v>5</v>
      </c>
      <c r="D7" s="53" t="e">
        <f>D5+D6</f>
        <v>#REF!</v>
      </c>
      <c r="G7" s="116"/>
      <c r="H7" s="112" t="e">
        <f>SUM(H5:H6)</f>
        <v>#REF!</v>
      </c>
      <c r="I7" s="112" t="e">
        <f>SUM(I5:I6)</f>
        <v>#REF!</v>
      </c>
      <c r="J7" s="113" t="e">
        <f>1-(I7/H7)</f>
        <v>#REF!</v>
      </c>
      <c r="L7" s="48" t="s">
        <v>214</v>
      </c>
      <c r="M7" s="134" t="e">
        <f>#REF!</f>
        <v>#REF!</v>
      </c>
    </row>
    <row r="8" spans="1:13" x14ac:dyDescent="0.2">
      <c r="A8" s="259"/>
      <c r="B8" s="259"/>
      <c r="C8" s="50">
        <v>5</v>
      </c>
      <c r="D8" s="57">
        <v>0.05</v>
      </c>
      <c r="L8" s="48" t="s">
        <v>218</v>
      </c>
      <c r="M8" s="134" t="e">
        <f>#REF!</f>
        <v>#REF!</v>
      </c>
    </row>
    <row r="9" spans="1:13" x14ac:dyDescent="0.2">
      <c r="A9" s="259"/>
      <c r="B9" s="259"/>
      <c r="C9" s="50">
        <v>5</v>
      </c>
      <c r="D9" s="54"/>
      <c r="L9" s="48" t="s">
        <v>18</v>
      </c>
      <c r="M9" s="134" t="e">
        <f>#REF!</f>
        <v>#REF!</v>
      </c>
    </row>
    <row r="10" spans="1:13" x14ac:dyDescent="0.2">
      <c r="A10" s="259"/>
      <c r="B10" s="259"/>
      <c r="C10" s="50">
        <v>5</v>
      </c>
      <c r="D10" s="51" t="e">
        <f>D5*2.5</f>
        <v>#REF!</v>
      </c>
      <c r="L10" s="48" t="s">
        <v>8</v>
      </c>
      <c r="M10" s="134" t="e">
        <f>#REF!</f>
        <v>#REF!</v>
      </c>
    </row>
    <row r="11" spans="1:13" x14ac:dyDescent="0.2">
      <c r="A11" s="259"/>
      <c r="B11" s="259"/>
      <c r="C11" s="50">
        <v>5</v>
      </c>
      <c r="D11" s="51" t="e">
        <f>D6*2.5</f>
        <v>#REF!</v>
      </c>
    </row>
    <row r="12" spans="1:13" ht="15" x14ac:dyDescent="0.2">
      <c r="A12" s="259"/>
      <c r="B12" s="259"/>
      <c r="C12" s="50">
        <v>5</v>
      </c>
      <c r="D12" s="51" t="e">
        <f>D10+D11</f>
        <v>#REF!</v>
      </c>
      <c r="H12" s="109" t="s">
        <v>158</v>
      </c>
      <c r="I12" s="109" t="s">
        <v>159</v>
      </c>
      <c r="J12" s="109" t="s">
        <v>145</v>
      </c>
    </row>
    <row r="13" spans="1:13" ht="15" x14ac:dyDescent="0.2">
      <c r="A13" s="259"/>
      <c r="B13" s="259"/>
      <c r="C13" s="50">
        <v>5</v>
      </c>
      <c r="D13" s="56" t="e">
        <f>D12/D7</f>
        <v>#REF!</v>
      </c>
      <c r="H13" s="110" t="e">
        <f>H7/D7/D18</f>
        <v>#REF!</v>
      </c>
      <c r="I13" s="110" t="e">
        <f>I7/D7/D18</f>
        <v>#REF!</v>
      </c>
      <c r="J13" s="111" t="e">
        <f>1-(I13/H13)</f>
        <v>#REF!</v>
      </c>
    </row>
    <row r="14" spans="1:13" x14ac:dyDescent="0.2">
      <c r="A14" s="259"/>
      <c r="B14" s="259"/>
      <c r="C14" s="50">
        <v>5</v>
      </c>
      <c r="D14" s="55">
        <v>3.8</v>
      </c>
    </row>
    <row r="15" spans="1:13" x14ac:dyDescent="0.2">
      <c r="A15" s="259"/>
      <c r="B15" s="259"/>
      <c r="C15" s="50">
        <v>5</v>
      </c>
      <c r="D15" s="56">
        <f>G26+G27+G28+G32</f>
        <v>745.41428571428582</v>
      </c>
    </row>
    <row r="16" spans="1:13" x14ac:dyDescent="0.2">
      <c r="A16" s="259"/>
      <c r="B16" s="259"/>
      <c r="C16" s="50">
        <v>5</v>
      </c>
      <c r="D16" s="51">
        <v>125</v>
      </c>
    </row>
    <row r="17" spans="1:13" x14ac:dyDescent="0.2">
      <c r="A17" s="259"/>
      <c r="B17" s="259"/>
      <c r="C17" s="50">
        <v>5</v>
      </c>
      <c r="D17" s="51">
        <v>52</v>
      </c>
    </row>
    <row r="18" spans="1:13" x14ac:dyDescent="0.2">
      <c r="A18" s="259"/>
      <c r="B18" s="259"/>
      <c r="C18" s="50">
        <v>5</v>
      </c>
      <c r="D18" s="51">
        <v>24</v>
      </c>
    </row>
    <row r="19" spans="1:13" x14ac:dyDescent="0.2">
      <c r="A19" s="259"/>
      <c r="B19" s="259"/>
      <c r="C19" s="50">
        <v>5</v>
      </c>
      <c r="D19" s="57">
        <v>0.01</v>
      </c>
    </row>
    <row r="20" spans="1:13" x14ac:dyDescent="0.2">
      <c r="A20" s="260"/>
      <c r="B20" s="260"/>
      <c r="C20" s="50">
        <v>5</v>
      </c>
      <c r="D20" s="51">
        <f>4950/D14</f>
        <v>1302.6315789473686</v>
      </c>
    </row>
    <row r="21" spans="1:13" x14ac:dyDescent="0.2">
      <c r="C21" s="4">
        <v>5</v>
      </c>
    </row>
    <row r="22" spans="1:13" s="170" customFormat="1" ht="15.75" x14ac:dyDescent="0.25">
      <c r="A22" s="411" t="s">
        <v>0</v>
      </c>
      <c r="B22" s="411"/>
      <c r="C22" s="411">
        <v>5</v>
      </c>
      <c r="D22" s="411"/>
      <c r="E22" s="411"/>
      <c r="F22" s="411"/>
      <c r="G22" s="411"/>
      <c r="H22" s="411"/>
      <c r="I22" s="411"/>
      <c r="J22" s="411"/>
      <c r="K22" s="411"/>
      <c r="L22" s="411"/>
      <c r="M22" s="411"/>
    </row>
    <row r="23" spans="1:13" s="171" customFormat="1" ht="15" customHeight="1" outlineLevel="1" x14ac:dyDescent="0.25">
      <c r="A23" s="407" t="s">
        <v>250</v>
      </c>
      <c r="B23" s="407"/>
      <c r="C23" s="407"/>
      <c r="D23" s="407"/>
      <c r="E23" s="407"/>
      <c r="F23" s="198"/>
      <c r="G23" s="197"/>
      <c r="H23" s="197"/>
      <c r="I23" s="197"/>
      <c r="J23" s="197"/>
      <c r="K23" s="197"/>
      <c r="L23" s="197"/>
      <c r="M23" s="198"/>
    </row>
    <row r="24" spans="1:13" s="171" customFormat="1" ht="12.75" outlineLevel="2" x14ac:dyDescent="0.2">
      <c r="A24" s="183" t="s">
        <v>5</v>
      </c>
      <c r="B24" s="183"/>
      <c r="C24" s="183" t="s">
        <v>105</v>
      </c>
      <c r="D24" s="183" t="s">
        <v>106</v>
      </c>
      <c r="E24" s="184" t="s">
        <v>68</v>
      </c>
      <c r="F24" s="185" t="s">
        <v>69</v>
      </c>
      <c r="G24" s="183" t="s">
        <v>108</v>
      </c>
      <c r="H24" s="183" t="s">
        <v>109</v>
      </c>
      <c r="I24" s="183" t="s">
        <v>110</v>
      </c>
      <c r="J24" s="183" t="s">
        <v>111</v>
      </c>
      <c r="K24" s="183" t="s">
        <v>13</v>
      </c>
      <c r="L24" s="183" t="s">
        <v>194</v>
      </c>
      <c r="M24" s="183" t="s">
        <v>279</v>
      </c>
    </row>
    <row r="25" spans="1:13" s="171" customFormat="1" ht="15" customHeight="1" outlineLevel="2" x14ac:dyDescent="0.25">
      <c r="A25" s="409" t="s">
        <v>251</v>
      </c>
      <c r="B25" s="409"/>
      <c r="C25" s="409"/>
      <c r="D25" s="409"/>
      <c r="E25" s="409"/>
      <c r="F25" s="199"/>
      <c r="G25" s="199"/>
      <c r="H25" s="199"/>
      <c r="I25" s="199"/>
      <c r="J25" s="199"/>
      <c r="K25" s="199"/>
      <c r="L25" s="199"/>
      <c r="M25" s="199"/>
    </row>
    <row r="26" spans="1:13" s="171" customFormat="1" ht="12" customHeight="1" outlineLevel="2" x14ac:dyDescent="0.2">
      <c r="A26" s="171" t="s">
        <v>0</v>
      </c>
      <c r="B26" s="171" t="s">
        <v>291</v>
      </c>
      <c r="C26" s="171" t="s">
        <v>112</v>
      </c>
      <c r="D26" s="171" t="s">
        <v>113</v>
      </c>
      <c r="E26" s="172" t="s">
        <v>114</v>
      </c>
      <c r="F26" s="173" t="e">
        <f>$D$7*(1+D8)</f>
        <v>#REF!</v>
      </c>
      <c r="G26" s="174">
        <f>I26/0.7</f>
        <v>109.71428571428572</v>
      </c>
      <c r="H26" s="175" t="e">
        <f t="shared" ref="H26:H32" si="0">F26*G26</f>
        <v>#REF!</v>
      </c>
      <c r="I26" s="171">
        <v>76.8</v>
      </c>
      <c r="J26" s="175" t="e">
        <f t="shared" ref="J26:J32" si="1">F26*I26</f>
        <v>#REF!</v>
      </c>
      <c r="K26" s="176" t="e">
        <f>1-(J26/H26)</f>
        <v>#REF!</v>
      </c>
      <c r="L26" s="171" t="s">
        <v>195</v>
      </c>
    </row>
    <row r="27" spans="1:13" s="171" customFormat="1" ht="12.75" outlineLevel="2" x14ac:dyDescent="0.2">
      <c r="A27" s="171" t="s">
        <v>0</v>
      </c>
      <c r="B27" s="171" t="s">
        <v>291</v>
      </c>
      <c r="C27" s="171" t="s">
        <v>117</v>
      </c>
      <c r="D27" s="171" t="s">
        <v>118</v>
      </c>
      <c r="E27" s="172" t="s">
        <v>119</v>
      </c>
      <c r="F27" s="173">
        <v>35</v>
      </c>
      <c r="G27" s="174">
        <f>I27/0.7</f>
        <v>426.52857142857147</v>
      </c>
      <c r="H27" s="175">
        <f t="shared" si="0"/>
        <v>14928.500000000002</v>
      </c>
      <c r="I27" s="171">
        <v>298.57</v>
      </c>
      <c r="J27" s="175">
        <f t="shared" si="1"/>
        <v>10449.949999999999</v>
      </c>
      <c r="K27" s="176">
        <f>1-(J27/H27)</f>
        <v>0.30000000000000016</v>
      </c>
      <c r="L27" s="171" t="s">
        <v>195</v>
      </c>
    </row>
    <row r="28" spans="1:13" s="171" customFormat="1" ht="12.75" outlineLevel="2" x14ac:dyDescent="0.2">
      <c r="A28" s="171" t="s">
        <v>0</v>
      </c>
      <c r="B28" s="171" t="s">
        <v>291</v>
      </c>
      <c r="C28" s="171" t="s">
        <v>122</v>
      </c>
      <c r="D28" s="171" t="s">
        <v>123</v>
      </c>
      <c r="E28" s="172" t="s">
        <v>116</v>
      </c>
      <c r="F28" s="173" t="e">
        <f t="shared" ref="F28" si="2">$D$7</f>
        <v>#REF!</v>
      </c>
      <c r="G28" s="174">
        <f>I28/0.7</f>
        <v>138.45714285714286</v>
      </c>
      <c r="H28" s="175" t="e">
        <f t="shared" si="0"/>
        <v>#REF!</v>
      </c>
      <c r="I28" s="171">
        <v>96.92</v>
      </c>
      <c r="J28" s="175" t="e">
        <f t="shared" si="1"/>
        <v>#REF!</v>
      </c>
      <c r="K28" s="176" t="e">
        <f>1-(J28/H28)</f>
        <v>#REF!</v>
      </c>
      <c r="L28" s="171" t="s">
        <v>195</v>
      </c>
    </row>
    <row r="29" spans="1:13" s="171" customFormat="1" ht="12" customHeight="1" outlineLevel="2" x14ac:dyDescent="0.2">
      <c r="A29" s="171" t="s">
        <v>0</v>
      </c>
      <c r="B29" s="171" t="s">
        <v>291</v>
      </c>
      <c r="C29" s="171" t="s">
        <v>186</v>
      </c>
      <c r="D29" s="171" t="s">
        <v>187</v>
      </c>
      <c r="E29" s="172" t="s">
        <v>188</v>
      </c>
      <c r="F29" s="173">
        <v>80</v>
      </c>
      <c r="G29" s="174">
        <f t="shared" ref="G29:G31" si="3">I29/0.7</f>
        <v>410.3</v>
      </c>
      <c r="H29" s="175">
        <f t="shared" si="0"/>
        <v>32824</v>
      </c>
      <c r="I29" s="171">
        <v>287.20999999999998</v>
      </c>
      <c r="J29" s="175">
        <f t="shared" si="1"/>
        <v>22976.799999999999</v>
      </c>
      <c r="K29" s="176">
        <f t="shared" ref="K29:K31" si="4">1-(J29/H29)</f>
        <v>0.30000000000000004</v>
      </c>
      <c r="L29" s="171" t="s">
        <v>195</v>
      </c>
    </row>
    <row r="30" spans="1:13" s="171" customFormat="1" ht="12.75" outlineLevel="2" x14ac:dyDescent="0.2">
      <c r="A30" s="171" t="s">
        <v>0</v>
      </c>
      <c r="B30" s="171" t="s">
        <v>291</v>
      </c>
      <c r="C30" s="171" t="s">
        <v>189</v>
      </c>
      <c r="D30" s="171" t="s">
        <v>190</v>
      </c>
      <c r="E30" s="172" t="s">
        <v>191</v>
      </c>
      <c r="F30" s="173">
        <v>1</v>
      </c>
      <c r="G30" s="174">
        <f t="shared" si="3"/>
        <v>129.4</v>
      </c>
      <c r="H30" s="175">
        <f t="shared" si="0"/>
        <v>129.4</v>
      </c>
      <c r="I30" s="171">
        <v>90.58</v>
      </c>
      <c r="J30" s="175">
        <f t="shared" si="1"/>
        <v>90.58</v>
      </c>
      <c r="K30" s="176">
        <f t="shared" si="4"/>
        <v>0.30000000000000004</v>
      </c>
      <c r="L30" s="171" t="s">
        <v>195</v>
      </c>
    </row>
    <row r="31" spans="1:13" s="171" customFormat="1" ht="12.75" outlineLevel="2" x14ac:dyDescent="0.2">
      <c r="A31" s="171" t="s">
        <v>0</v>
      </c>
      <c r="B31" s="171" t="s">
        <v>291</v>
      </c>
      <c r="D31" s="171" t="s">
        <v>124</v>
      </c>
      <c r="E31" s="172" t="s">
        <v>192</v>
      </c>
      <c r="F31" s="173" t="e">
        <f>F28-F32</f>
        <v>#REF!</v>
      </c>
      <c r="G31" s="174">
        <f t="shared" si="3"/>
        <v>20</v>
      </c>
      <c r="H31" s="175" t="e">
        <f t="shared" si="0"/>
        <v>#REF!</v>
      </c>
      <c r="I31" s="171">
        <v>14</v>
      </c>
      <c r="J31" s="175" t="e">
        <f t="shared" si="1"/>
        <v>#REF!</v>
      </c>
      <c r="K31" s="176" t="e">
        <f t="shared" si="4"/>
        <v>#REF!</v>
      </c>
      <c r="L31" s="171" t="s">
        <v>195</v>
      </c>
    </row>
    <row r="32" spans="1:13" s="171" customFormat="1" ht="12.75" outlineLevel="2" x14ac:dyDescent="0.2">
      <c r="A32" s="171" t="s">
        <v>0</v>
      </c>
      <c r="B32" s="171" t="s">
        <v>291</v>
      </c>
      <c r="C32" s="171">
        <v>611604104</v>
      </c>
      <c r="D32" s="171" t="s">
        <v>124</v>
      </c>
      <c r="E32" s="172" t="s">
        <v>121</v>
      </c>
      <c r="F32" s="173">
        <v>35</v>
      </c>
      <c r="G32" s="174">
        <f>I32/0.7</f>
        <v>70.714285714285722</v>
      </c>
      <c r="H32" s="175">
        <f t="shared" si="0"/>
        <v>2475.0000000000005</v>
      </c>
      <c r="I32" s="175">
        <v>49.5</v>
      </c>
      <c r="J32" s="175">
        <f t="shared" si="1"/>
        <v>1732.5</v>
      </c>
      <c r="K32" s="176">
        <f>1-(J32/H32)</f>
        <v>0.30000000000000016</v>
      </c>
      <c r="L32" s="171" t="s">
        <v>195</v>
      </c>
    </row>
    <row r="33" spans="1:13" s="171" customFormat="1" ht="12.75" outlineLevel="2" x14ac:dyDescent="0.2">
      <c r="A33" s="191"/>
      <c r="B33" s="191"/>
      <c r="C33" s="191"/>
      <c r="D33" s="191"/>
      <c r="E33" s="204" t="s">
        <v>253</v>
      </c>
      <c r="F33" s="188"/>
      <c r="G33" s="189"/>
      <c r="H33" s="189" t="e">
        <f>SUM(H26:H32)</f>
        <v>#REF!</v>
      </c>
      <c r="I33" s="189"/>
      <c r="J33" s="189" t="e">
        <f>SUM(J26:J32)</f>
        <v>#REF!</v>
      </c>
      <c r="K33" s="190" t="e">
        <f>1-(J33/H33)</f>
        <v>#REF!</v>
      </c>
      <c r="L33" s="191"/>
      <c r="M33" s="191"/>
    </row>
    <row r="34" spans="1:13" s="171" customFormat="1" ht="15" customHeight="1" outlineLevel="2" x14ac:dyDescent="0.25">
      <c r="A34" s="409" t="s">
        <v>252</v>
      </c>
      <c r="B34" s="409"/>
      <c r="C34" s="409"/>
      <c r="D34" s="409"/>
      <c r="E34" s="409"/>
      <c r="F34" s="200"/>
      <c r="G34" s="201"/>
      <c r="H34" s="202"/>
      <c r="I34" s="201"/>
      <c r="J34" s="202"/>
      <c r="K34" s="203"/>
      <c r="L34" s="201"/>
      <c r="M34" s="201"/>
    </row>
    <row r="35" spans="1:13" s="171" customFormat="1" ht="12" customHeight="1" outlineLevel="2" x14ac:dyDescent="0.2">
      <c r="A35" s="171" t="s">
        <v>0</v>
      </c>
      <c r="B35" s="171" t="s">
        <v>291</v>
      </c>
      <c r="C35" s="171" t="s">
        <v>112</v>
      </c>
      <c r="D35" s="171" t="s">
        <v>113</v>
      </c>
      <c r="E35" s="172" t="s">
        <v>114</v>
      </c>
      <c r="F35" s="173" t="e">
        <f>ROUNDUP($D$8*$D$7,0)</f>
        <v>#REF!</v>
      </c>
      <c r="G35" s="174">
        <f>I35/0.7</f>
        <v>109.71428571428572</v>
      </c>
      <c r="H35" s="175" t="e">
        <f t="shared" ref="H35:H41" si="5">F35*G35</f>
        <v>#REF!</v>
      </c>
      <c r="I35" s="171">
        <v>76.8</v>
      </c>
      <c r="J35" s="175" t="e">
        <f t="shared" ref="J35:J41" si="6">F35*I35</f>
        <v>#REF!</v>
      </c>
      <c r="K35" s="176" t="e">
        <f>1-(J35/H35)</f>
        <v>#REF!</v>
      </c>
      <c r="L35" s="171" t="s">
        <v>195</v>
      </c>
    </row>
    <row r="36" spans="1:13" s="171" customFormat="1" ht="12.75" outlineLevel="2" x14ac:dyDescent="0.2">
      <c r="A36" s="171" t="s">
        <v>0</v>
      </c>
      <c r="B36" s="171" t="s">
        <v>291</v>
      </c>
      <c r="C36" s="171" t="s">
        <v>117</v>
      </c>
      <c r="D36" s="171" t="s">
        <v>118</v>
      </c>
      <c r="E36" s="172" t="s">
        <v>119</v>
      </c>
      <c r="F36" s="173">
        <v>3</v>
      </c>
      <c r="G36" s="174">
        <f>I36/0.7</f>
        <v>426.52857142857147</v>
      </c>
      <c r="H36" s="175">
        <f t="shared" si="5"/>
        <v>1279.5857142857144</v>
      </c>
      <c r="I36" s="171">
        <v>298.57</v>
      </c>
      <c r="J36" s="175">
        <f t="shared" si="6"/>
        <v>895.71</v>
      </c>
      <c r="K36" s="176">
        <f>1-(J36/H36)</f>
        <v>0.30000000000000004</v>
      </c>
      <c r="L36" s="171" t="s">
        <v>195</v>
      </c>
    </row>
    <row r="37" spans="1:13" s="171" customFormat="1" ht="12.75" outlineLevel="2" x14ac:dyDescent="0.2">
      <c r="A37" s="171" t="s">
        <v>0</v>
      </c>
      <c r="B37" s="171" t="s">
        <v>291</v>
      </c>
      <c r="C37" s="171" t="s">
        <v>122</v>
      </c>
      <c r="D37" s="171" t="s">
        <v>123</v>
      </c>
      <c r="E37" s="172" t="s">
        <v>116</v>
      </c>
      <c r="F37" s="173" t="e">
        <f>ROUNDUP($D$8*$D$7,0)</f>
        <v>#REF!</v>
      </c>
      <c r="G37" s="174">
        <f>I37/0.7</f>
        <v>138.45714285714286</v>
      </c>
      <c r="H37" s="175" t="e">
        <f t="shared" si="5"/>
        <v>#REF!</v>
      </c>
      <c r="I37" s="171">
        <v>96.92</v>
      </c>
      <c r="J37" s="175" t="e">
        <f t="shared" si="6"/>
        <v>#REF!</v>
      </c>
      <c r="K37" s="176" t="e">
        <f>1-(J37/H37)</f>
        <v>#REF!</v>
      </c>
      <c r="L37" s="171" t="s">
        <v>195</v>
      </c>
    </row>
    <row r="38" spans="1:13" s="171" customFormat="1" ht="12" customHeight="1" outlineLevel="2" x14ac:dyDescent="0.2">
      <c r="A38" s="171" t="s">
        <v>0</v>
      </c>
      <c r="B38" s="171" t="s">
        <v>291</v>
      </c>
      <c r="C38" s="171" t="s">
        <v>186</v>
      </c>
      <c r="D38" s="171" t="s">
        <v>187</v>
      </c>
      <c r="E38" s="172" t="s">
        <v>188</v>
      </c>
      <c r="F38" s="173">
        <v>4</v>
      </c>
      <c r="G38" s="174">
        <f t="shared" ref="G38:G40" si="7">I38/0.7</f>
        <v>410.3</v>
      </c>
      <c r="H38" s="175">
        <f t="shared" si="5"/>
        <v>1641.2</v>
      </c>
      <c r="I38" s="171">
        <v>287.20999999999998</v>
      </c>
      <c r="J38" s="175">
        <f t="shared" si="6"/>
        <v>1148.8399999999999</v>
      </c>
      <c r="K38" s="176">
        <f t="shared" ref="K38:K40" si="8">1-(J38/H38)</f>
        <v>0.30000000000000004</v>
      </c>
      <c r="L38" s="171" t="s">
        <v>195</v>
      </c>
    </row>
    <row r="39" spans="1:13" s="171" customFormat="1" ht="12.75" outlineLevel="2" x14ac:dyDescent="0.2">
      <c r="A39" s="171" t="s">
        <v>0</v>
      </c>
      <c r="B39" s="171" t="s">
        <v>291</v>
      </c>
      <c r="C39" s="171" t="s">
        <v>189</v>
      </c>
      <c r="D39" s="171" t="s">
        <v>190</v>
      </c>
      <c r="E39" s="172" t="s">
        <v>191</v>
      </c>
      <c r="F39" s="173">
        <v>0</v>
      </c>
      <c r="G39" s="174">
        <f t="shared" si="7"/>
        <v>129.4</v>
      </c>
      <c r="H39" s="175">
        <f t="shared" si="5"/>
        <v>0</v>
      </c>
      <c r="I39" s="171">
        <v>90.58</v>
      </c>
      <c r="J39" s="175">
        <f t="shared" si="6"/>
        <v>0</v>
      </c>
      <c r="K39" s="176" t="e">
        <f t="shared" si="8"/>
        <v>#DIV/0!</v>
      </c>
      <c r="L39" s="171" t="s">
        <v>195</v>
      </c>
    </row>
    <row r="40" spans="1:13" s="171" customFormat="1" ht="12.75" outlineLevel="2" x14ac:dyDescent="0.2">
      <c r="A40" s="171" t="s">
        <v>0</v>
      </c>
      <c r="B40" s="171" t="s">
        <v>291</v>
      </c>
      <c r="D40" s="171" t="s">
        <v>124</v>
      </c>
      <c r="E40" s="172" t="s">
        <v>192</v>
      </c>
      <c r="F40" s="173">
        <v>15</v>
      </c>
      <c r="G40" s="174">
        <f t="shared" si="7"/>
        <v>20</v>
      </c>
      <c r="H40" s="175">
        <f t="shared" si="5"/>
        <v>300</v>
      </c>
      <c r="I40" s="171">
        <v>14</v>
      </c>
      <c r="J40" s="175">
        <f t="shared" si="6"/>
        <v>210</v>
      </c>
      <c r="K40" s="176">
        <f t="shared" si="8"/>
        <v>0.30000000000000004</v>
      </c>
      <c r="L40" s="171" t="s">
        <v>195</v>
      </c>
    </row>
    <row r="41" spans="1:13" s="171" customFormat="1" ht="12.75" outlineLevel="2" x14ac:dyDescent="0.2">
      <c r="A41" s="171" t="s">
        <v>0</v>
      </c>
      <c r="B41" s="171" t="s">
        <v>291</v>
      </c>
      <c r="C41" s="171">
        <v>611604104</v>
      </c>
      <c r="D41" s="171" t="s">
        <v>124</v>
      </c>
      <c r="E41" s="172" t="s">
        <v>121</v>
      </c>
      <c r="F41" s="173">
        <v>3</v>
      </c>
      <c r="G41" s="174">
        <f>I41/0.7</f>
        <v>70.714285714285722</v>
      </c>
      <c r="H41" s="175">
        <f t="shared" si="5"/>
        <v>212.14285714285717</v>
      </c>
      <c r="I41" s="175">
        <v>49.5</v>
      </c>
      <c r="J41" s="175">
        <f t="shared" si="6"/>
        <v>148.5</v>
      </c>
      <c r="K41" s="176">
        <f>1-(J41/H41)</f>
        <v>0.30000000000000004</v>
      </c>
      <c r="L41" s="171" t="s">
        <v>195</v>
      </c>
    </row>
    <row r="42" spans="1:13" s="171" customFormat="1" ht="13.5" outlineLevel="2" thickBot="1" x14ac:dyDescent="0.25">
      <c r="A42" s="196"/>
      <c r="B42" s="196"/>
      <c r="C42" s="196"/>
      <c r="D42" s="196"/>
      <c r="E42" s="205" t="s">
        <v>254</v>
      </c>
      <c r="F42" s="193"/>
      <c r="G42" s="194"/>
      <c r="H42" s="194" t="e">
        <f>SUM(H35:H41)</f>
        <v>#REF!</v>
      </c>
      <c r="I42" s="194"/>
      <c r="J42" s="194" t="e">
        <f>SUM(J35:J41)</f>
        <v>#REF!</v>
      </c>
      <c r="K42" s="195" t="e">
        <f>1-(J42/H42)</f>
        <v>#REF!</v>
      </c>
      <c r="L42" s="196"/>
      <c r="M42" s="196"/>
    </row>
    <row r="43" spans="1:13" s="171" customFormat="1" ht="15.75" customHeight="1" outlineLevel="1" thickTop="1" x14ac:dyDescent="0.2">
      <c r="A43" s="410" t="s">
        <v>255</v>
      </c>
      <c r="B43" s="410"/>
      <c r="C43" s="410"/>
      <c r="D43" s="410"/>
      <c r="E43" s="410"/>
      <c r="F43" s="206"/>
      <c r="G43" s="207"/>
      <c r="H43" s="208" t="e">
        <f>H42+H33</f>
        <v>#REF!</v>
      </c>
      <c r="I43" s="207"/>
      <c r="J43" s="208" t="e">
        <f>J42+J33</f>
        <v>#REF!</v>
      </c>
      <c r="K43" s="209" t="e">
        <f>1-(J43/H43)</f>
        <v>#REF!</v>
      </c>
      <c r="L43" s="207"/>
    </row>
    <row r="44" spans="1:13" s="171" customFormat="1" ht="15" customHeight="1" outlineLevel="1" x14ac:dyDescent="0.25">
      <c r="A44" s="407" t="s">
        <v>256</v>
      </c>
      <c r="B44" s="407"/>
      <c r="C44" s="407"/>
      <c r="D44" s="407"/>
      <c r="E44" s="407"/>
      <c r="F44" s="198"/>
      <c r="G44" s="197"/>
      <c r="H44" s="197"/>
      <c r="I44" s="197"/>
      <c r="J44" s="197"/>
      <c r="K44" s="197"/>
      <c r="L44" s="197"/>
      <c r="M44" s="198"/>
    </row>
    <row r="45" spans="1:13" s="171" customFormat="1" ht="12.75" outlineLevel="2" x14ac:dyDescent="0.2">
      <c r="A45" s="183" t="s">
        <v>5</v>
      </c>
      <c r="B45" s="183"/>
      <c r="C45" s="183" t="s">
        <v>128</v>
      </c>
      <c r="D45" s="183" t="s">
        <v>106</v>
      </c>
      <c r="E45" s="184" t="s">
        <v>68</v>
      </c>
      <c r="F45" s="185" t="s">
        <v>69</v>
      </c>
      <c r="G45" s="183" t="s">
        <v>108</v>
      </c>
      <c r="H45" s="183" t="s">
        <v>109</v>
      </c>
      <c r="I45" s="183" t="s">
        <v>110</v>
      </c>
      <c r="J45" s="183" t="s">
        <v>111</v>
      </c>
      <c r="K45" s="183" t="s">
        <v>13</v>
      </c>
      <c r="L45" s="183" t="s">
        <v>194</v>
      </c>
      <c r="M45" s="183" t="s">
        <v>279</v>
      </c>
    </row>
    <row r="46" spans="1:13" s="171" customFormat="1" ht="15" customHeight="1" outlineLevel="2" x14ac:dyDescent="0.25">
      <c r="A46" s="409" t="s">
        <v>149</v>
      </c>
      <c r="B46" s="409"/>
      <c r="C46" s="409"/>
      <c r="D46" s="409"/>
      <c r="E46" s="409"/>
      <c r="F46" s="199"/>
      <c r="G46" s="199"/>
      <c r="H46" s="199"/>
      <c r="I46" s="199"/>
      <c r="J46" s="199"/>
      <c r="K46" s="199"/>
      <c r="L46" s="199"/>
      <c r="M46" s="199"/>
    </row>
    <row r="47" spans="1:13" s="171" customFormat="1" ht="12.75" outlineLevel="3" x14ac:dyDescent="0.2">
      <c r="A47" s="171" t="s">
        <v>0</v>
      </c>
      <c r="B47" s="171" t="s">
        <v>292</v>
      </c>
      <c r="E47" s="172" t="s">
        <v>150</v>
      </c>
      <c r="F47" s="173" t="e">
        <f>D7</f>
        <v>#REF!</v>
      </c>
      <c r="G47" s="234" t="e">
        <f>I47/0.75</f>
        <v>#REF!</v>
      </c>
      <c r="H47" s="234" t="e">
        <f>F47*G47</f>
        <v>#REF!</v>
      </c>
      <c r="I47" s="234" t="e">
        <f>#REF!+#REF!</f>
        <v>#REF!</v>
      </c>
      <c r="J47" s="234" t="e">
        <f>F47*I47</f>
        <v>#REF!</v>
      </c>
      <c r="K47" s="176" t="e">
        <f>1-(J47/H47)</f>
        <v>#REF!</v>
      </c>
      <c r="L47" s="171" t="s">
        <v>196</v>
      </c>
    </row>
    <row r="48" spans="1:13" s="171" customFormat="1" ht="12.75" outlineLevel="3" x14ac:dyDescent="0.2">
      <c r="A48" s="171" t="s">
        <v>0</v>
      </c>
      <c r="B48" s="171" t="s">
        <v>292</v>
      </c>
      <c r="E48" s="172" t="s">
        <v>257</v>
      </c>
      <c r="F48" s="173" t="e">
        <f>ROUNDUP($D$8*$D$7,0)</f>
        <v>#REF!</v>
      </c>
      <c r="G48" s="235" t="e">
        <f>I48/0.75</f>
        <v>#REF!</v>
      </c>
      <c r="H48" s="235" t="e">
        <f>F48*G48</f>
        <v>#REF!</v>
      </c>
      <c r="I48" s="235" t="e">
        <f>#REF!+#REF!</f>
        <v>#REF!</v>
      </c>
      <c r="J48" s="235" t="e">
        <f>F48*I48</f>
        <v>#REF!</v>
      </c>
      <c r="K48" s="176" t="e">
        <f>1-(J48/H48)</f>
        <v>#REF!</v>
      </c>
      <c r="L48" s="171" t="s">
        <v>196</v>
      </c>
    </row>
    <row r="49" spans="1:13" s="171" customFormat="1" ht="12.75" outlineLevel="2" x14ac:dyDescent="0.2">
      <c r="A49" s="191"/>
      <c r="B49" s="191"/>
      <c r="C49" s="191"/>
      <c r="D49" s="191"/>
      <c r="E49" s="187" t="s">
        <v>259</v>
      </c>
      <c r="F49" s="188"/>
      <c r="G49" s="236"/>
      <c r="H49" s="236" t="e">
        <f>SUM(H46:H48)</f>
        <v>#REF!</v>
      </c>
      <c r="I49" s="236"/>
      <c r="J49" s="236" t="e">
        <f>SUM(J46:J48)</f>
        <v>#REF!</v>
      </c>
      <c r="K49" s="190" t="e">
        <f>1-(J49/H49)</f>
        <v>#REF!</v>
      </c>
      <c r="L49" s="191"/>
      <c r="M49" s="191"/>
    </row>
    <row r="50" spans="1:13" s="171" customFormat="1" ht="15" customHeight="1" outlineLevel="2" x14ac:dyDescent="0.25">
      <c r="A50" s="409" t="s">
        <v>129</v>
      </c>
      <c r="B50" s="409"/>
      <c r="C50" s="409"/>
      <c r="D50" s="409"/>
      <c r="E50" s="409"/>
      <c r="F50" s="199"/>
      <c r="G50" s="237"/>
      <c r="H50" s="237"/>
      <c r="I50" s="237"/>
      <c r="J50" s="237"/>
      <c r="K50" s="199"/>
      <c r="L50" s="199"/>
      <c r="M50" s="199"/>
    </row>
    <row r="51" spans="1:13" s="171" customFormat="1" ht="12.75" outlineLevel="3" x14ac:dyDescent="0.2">
      <c r="A51" s="171" t="s">
        <v>0</v>
      </c>
      <c r="B51" s="171" t="s">
        <v>292</v>
      </c>
      <c r="E51" s="172" t="s">
        <v>151</v>
      </c>
      <c r="F51" s="173" t="e">
        <f>$D$7</f>
        <v>#REF!</v>
      </c>
      <c r="G51" s="234" t="e">
        <f>I51/0.75</f>
        <v>#REF!</v>
      </c>
      <c r="H51" s="234" t="e">
        <f>F51*G51</f>
        <v>#REF!</v>
      </c>
      <c r="I51" s="234" t="e">
        <f>#REF!</f>
        <v>#REF!</v>
      </c>
      <c r="J51" s="234" t="e">
        <f>F51*I51</f>
        <v>#REF!</v>
      </c>
      <c r="K51" s="176" t="e">
        <f>1-(J51/H51)</f>
        <v>#REF!</v>
      </c>
      <c r="L51" s="171" t="s">
        <v>196</v>
      </c>
    </row>
    <row r="52" spans="1:13" s="171" customFormat="1" ht="12.75" outlineLevel="3" x14ac:dyDescent="0.2">
      <c r="A52" s="171" t="s">
        <v>0</v>
      </c>
      <c r="B52" s="171" t="s">
        <v>292</v>
      </c>
      <c r="E52" s="172" t="s">
        <v>258</v>
      </c>
      <c r="F52" s="173" t="e">
        <f>ROUNDUP($D$8*$D$7,0)</f>
        <v>#REF!</v>
      </c>
      <c r="G52" s="235" t="e">
        <f>I52/0.75</f>
        <v>#REF!</v>
      </c>
      <c r="H52" s="235" t="e">
        <f>F52*G52</f>
        <v>#REF!</v>
      </c>
      <c r="I52" s="235" t="e">
        <f>#REF!</f>
        <v>#REF!</v>
      </c>
      <c r="J52" s="235" t="e">
        <f>F52*I52</f>
        <v>#REF!</v>
      </c>
      <c r="K52" s="176" t="e">
        <f>1-(J52/H52)</f>
        <v>#REF!</v>
      </c>
      <c r="L52" s="171" t="s">
        <v>196</v>
      </c>
    </row>
    <row r="53" spans="1:13" s="171" customFormat="1" ht="12.75" outlineLevel="2" x14ac:dyDescent="0.2">
      <c r="A53" s="191"/>
      <c r="B53" s="191"/>
      <c r="C53" s="191"/>
      <c r="D53" s="191"/>
      <c r="E53" s="187" t="s">
        <v>260</v>
      </c>
      <c r="F53" s="188"/>
      <c r="G53" s="236"/>
      <c r="H53" s="236" t="e">
        <f>SUM(H50:H52)</f>
        <v>#REF!</v>
      </c>
      <c r="I53" s="236"/>
      <c r="J53" s="236" t="e">
        <f>SUM(J50:J52)</f>
        <v>#REF!</v>
      </c>
      <c r="K53" s="190" t="e">
        <f>1-(J53/H53)</f>
        <v>#REF!</v>
      </c>
      <c r="L53" s="191"/>
      <c r="M53" s="191"/>
    </row>
    <row r="54" spans="1:13" s="171" customFormat="1" ht="15" customHeight="1" outlineLevel="2" x14ac:dyDescent="0.25">
      <c r="A54" s="409" t="s">
        <v>130</v>
      </c>
      <c r="B54" s="409"/>
      <c r="C54" s="409"/>
      <c r="D54" s="409"/>
      <c r="E54" s="409"/>
      <c r="F54" s="199"/>
      <c r="G54" s="237"/>
      <c r="H54" s="237"/>
      <c r="I54" s="237"/>
      <c r="J54" s="237"/>
      <c r="K54" s="199"/>
      <c r="L54" s="199"/>
      <c r="M54" s="199"/>
    </row>
    <row r="55" spans="1:13" s="171" customFormat="1" ht="36" customHeight="1" outlineLevel="3" x14ac:dyDescent="0.2">
      <c r="A55" s="171" t="s">
        <v>0</v>
      </c>
      <c r="B55" s="171" t="s">
        <v>292</v>
      </c>
      <c r="C55" s="171" t="s">
        <v>131</v>
      </c>
      <c r="D55" s="171" t="s">
        <v>132</v>
      </c>
      <c r="E55" s="172" t="s">
        <v>133</v>
      </c>
      <c r="F55" s="173" t="e">
        <f>$D$7</f>
        <v>#REF!</v>
      </c>
      <c r="G55" s="234" t="e">
        <f>I55/0.75</f>
        <v>#REF!</v>
      </c>
      <c r="H55" s="234" t="e">
        <f>F55*G55</f>
        <v>#REF!</v>
      </c>
      <c r="I55" s="234" t="e">
        <f>#REF!</f>
        <v>#REF!</v>
      </c>
      <c r="J55" s="234" t="e">
        <f>F55*I55</f>
        <v>#REF!</v>
      </c>
      <c r="K55" s="176" t="e">
        <f>1-(J55/H55)</f>
        <v>#REF!</v>
      </c>
      <c r="L55" s="171" t="s">
        <v>196</v>
      </c>
    </row>
    <row r="56" spans="1:13" s="171" customFormat="1" ht="36.75" customHeight="1" outlineLevel="3" x14ac:dyDescent="0.2">
      <c r="A56" s="171" t="s">
        <v>0</v>
      </c>
      <c r="B56" s="171" t="s">
        <v>292</v>
      </c>
      <c r="C56" s="171" t="s">
        <v>131</v>
      </c>
      <c r="D56" s="171" t="s">
        <v>132</v>
      </c>
      <c r="E56" s="172" t="s">
        <v>134</v>
      </c>
      <c r="F56" s="173" t="e">
        <f>ROUNDUP($D$8*$D$7,0)</f>
        <v>#REF!</v>
      </c>
      <c r="G56" s="235" t="e">
        <f>I56/0.75</f>
        <v>#REF!</v>
      </c>
      <c r="H56" s="235" t="e">
        <f>F56*G56</f>
        <v>#REF!</v>
      </c>
      <c r="I56" s="235" t="e">
        <f>#REF!</f>
        <v>#REF!</v>
      </c>
      <c r="J56" s="235" t="e">
        <f>F56*I56</f>
        <v>#REF!</v>
      </c>
      <c r="K56" s="176" t="e">
        <f>1-(J56/H56)</f>
        <v>#REF!</v>
      </c>
      <c r="L56" s="171" t="s">
        <v>196</v>
      </c>
    </row>
    <row r="57" spans="1:13" s="171" customFormat="1" ht="12.75" outlineLevel="2" x14ac:dyDescent="0.2">
      <c r="A57" s="191"/>
      <c r="B57" s="191"/>
      <c r="C57" s="191"/>
      <c r="D57" s="191"/>
      <c r="E57" s="187" t="s">
        <v>261</v>
      </c>
      <c r="F57" s="188"/>
      <c r="G57" s="236"/>
      <c r="H57" s="236" t="e">
        <f>SUM(H54:H56)</f>
        <v>#REF!</v>
      </c>
      <c r="I57" s="236"/>
      <c r="J57" s="236" t="e">
        <f>SUM(J54:J56)</f>
        <v>#REF!</v>
      </c>
      <c r="K57" s="190" t="e">
        <f>1-(J57/H57)</f>
        <v>#REF!</v>
      </c>
      <c r="L57" s="191"/>
      <c r="M57" s="191"/>
    </row>
    <row r="58" spans="1:13" s="171" customFormat="1" ht="15" customHeight="1" outlineLevel="2" x14ac:dyDescent="0.25">
      <c r="A58" s="409" t="s">
        <v>135</v>
      </c>
      <c r="B58" s="409"/>
      <c r="C58" s="409"/>
      <c r="D58" s="409"/>
      <c r="E58" s="409"/>
      <c r="F58" s="199"/>
      <c r="G58" s="199"/>
      <c r="H58" s="199"/>
      <c r="I58" s="199"/>
      <c r="J58" s="199"/>
      <c r="K58" s="199"/>
      <c r="L58" s="199"/>
      <c r="M58" s="199"/>
    </row>
    <row r="59" spans="1:13" s="171" customFormat="1" ht="12.75" outlineLevel="3" x14ac:dyDescent="0.2">
      <c r="A59" s="171" t="s">
        <v>0</v>
      </c>
      <c r="B59" s="171" t="s">
        <v>292</v>
      </c>
      <c r="E59" s="172" t="s">
        <v>173</v>
      </c>
      <c r="F59" s="173">
        <v>1</v>
      </c>
      <c r="G59" s="235">
        <f>I59/0.75</f>
        <v>6666.666666666667</v>
      </c>
      <c r="H59" s="235">
        <f>F59*G59</f>
        <v>6666.666666666667</v>
      </c>
      <c r="I59" s="235">
        <v>5000</v>
      </c>
      <c r="J59" s="235">
        <f>F59*I59</f>
        <v>5000</v>
      </c>
      <c r="K59" s="176">
        <f>1-(J59/H59)</f>
        <v>0.25</v>
      </c>
      <c r="L59" s="171" t="s">
        <v>196</v>
      </c>
    </row>
    <row r="60" spans="1:13" s="171" customFormat="1" ht="12.75" outlineLevel="2" x14ac:dyDescent="0.2">
      <c r="A60" s="191"/>
      <c r="B60" s="191"/>
      <c r="C60" s="191"/>
      <c r="D60" s="191"/>
      <c r="E60" s="187" t="s">
        <v>262</v>
      </c>
      <c r="F60" s="188"/>
      <c r="G60" s="236"/>
      <c r="H60" s="236">
        <f>SUM(H58:H59)</f>
        <v>6666.666666666667</v>
      </c>
      <c r="I60" s="236"/>
      <c r="J60" s="236">
        <f>SUM(J58:J59)</f>
        <v>5000</v>
      </c>
      <c r="K60" s="190">
        <f>1-(J60/H60)</f>
        <v>0.25</v>
      </c>
      <c r="L60" s="191"/>
      <c r="M60" s="191"/>
    </row>
    <row r="61" spans="1:13" s="171" customFormat="1" ht="15" customHeight="1" outlineLevel="2" x14ac:dyDescent="0.25">
      <c r="A61" s="409" t="s">
        <v>174</v>
      </c>
      <c r="B61" s="409"/>
      <c r="C61" s="409"/>
      <c r="D61" s="409"/>
      <c r="E61" s="409"/>
      <c r="F61" s="199"/>
      <c r="G61" s="237"/>
      <c r="H61" s="237"/>
      <c r="I61" s="237"/>
      <c r="J61" s="237"/>
      <c r="K61" s="199"/>
      <c r="L61" s="199"/>
      <c r="M61" s="199"/>
    </row>
    <row r="62" spans="1:13" s="171" customFormat="1" ht="12.75" outlineLevel="3" x14ac:dyDescent="0.2">
      <c r="A62" s="171" t="s">
        <v>0</v>
      </c>
      <c r="B62" s="171" t="s">
        <v>292</v>
      </c>
      <c r="E62" s="172" t="s">
        <v>175</v>
      </c>
      <c r="F62" s="173">
        <v>0</v>
      </c>
      <c r="G62" s="234" t="e">
        <f t="shared" ref="G62:G67" si="9">I62/0.75</f>
        <v>#REF!</v>
      </c>
      <c r="H62" s="234" t="e">
        <f>F62*G62*$D$18</f>
        <v>#REF!</v>
      </c>
      <c r="I62" s="234" t="e">
        <f>#REF!</f>
        <v>#REF!</v>
      </c>
      <c r="J62" s="234" t="e">
        <f>F62*I62*$D$18</f>
        <v>#REF!</v>
      </c>
      <c r="K62" s="176" t="e">
        <f t="shared" ref="K62:K68" si="10">1-(J62/H62)</f>
        <v>#REF!</v>
      </c>
      <c r="L62" s="171" t="s">
        <v>196</v>
      </c>
    </row>
    <row r="63" spans="1:13" s="171" customFormat="1" ht="12.75" outlineLevel="3" x14ac:dyDescent="0.2">
      <c r="A63" s="171" t="s">
        <v>0</v>
      </c>
      <c r="B63" s="171" t="s">
        <v>292</v>
      </c>
      <c r="E63" s="172" t="s">
        <v>176</v>
      </c>
      <c r="F63" s="173">
        <v>0</v>
      </c>
      <c r="G63" s="234" t="e">
        <f t="shared" si="9"/>
        <v>#REF!</v>
      </c>
      <c r="H63" s="234" t="e">
        <f>F63*G63*$D$18</f>
        <v>#REF!</v>
      </c>
      <c r="I63" s="234" t="e">
        <f>#REF!</f>
        <v>#REF!</v>
      </c>
      <c r="J63" s="234" t="e">
        <f>F63*I63*$D$18</f>
        <v>#REF!</v>
      </c>
      <c r="K63" s="176" t="e">
        <f t="shared" si="10"/>
        <v>#REF!</v>
      </c>
      <c r="L63" s="171" t="s">
        <v>196</v>
      </c>
    </row>
    <row r="64" spans="1:13" s="171" customFormat="1" ht="12.75" outlineLevel="3" x14ac:dyDescent="0.2">
      <c r="A64" s="171" t="s">
        <v>0</v>
      </c>
      <c r="B64" s="171" t="s">
        <v>292</v>
      </c>
      <c r="E64" s="172" t="s">
        <v>177</v>
      </c>
      <c r="F64" s="173">
        <v>0</v>
      </c>
      <c r="G64" s="234" t="e">
        <f t="shared" si="9"/>
        <v>#REF!</v>
      </c>
      <c r="H64" s="234" t="e">
        <f>F64*G64*$D$18</f>
        <v>#REF!</v>
      </c>
      <c r="I64" s="234" t="e">
        <f>#REF!</f>
        <v>#REF!</v>
      </c>
      <c r="J64" s="234" t="e">
        <f>F64*I64*$D$18</f>
        <v>#REF!</v>
      </c>
      <c r="K64" s="176" t="e">
        <f t="shared" si="10"/>
        <v>#REF!</v>
      </c>
      <c r="L64" s="171" t="s">
        <v>196</v>
      </c>
    </row>
    <row r="65" spans="1:13" s="171" customFormat="1" ht="12.75" outlineLevel="3" x14ac:dyDescent="0.2">
      <c r="A65" s="171" t="s">
        <v>0</v>
      </c>
      <c r="B65" s="171" t="s">
        <v>292</v>
      </c>
      <c r="E65" s="172" t="s">
        <v>178</v>
      </c>
      <c r="F65" s="173">
        <v>1</v>
      </c>
      <c r="G65" s="234" t="e">
        <f t="shared" si="9"/>
        <v>#REF!</v>
      </c>
      <c r="H65" s="234" t="e">
        <f>F65*G65</f>
        <v>#REF!</v>
      </c>
      <c r="I65" s="234" t="e">
        <f>#REF!</f>
        <v>#REF!</v>
      </c>
      <c r="J65" s="234" t="e">
        <f>F65*I65</f>
        <v>#REF!</v>
      </c>
      <c r="K65" s="176" t="e">
        <f t="shared" si="10"/>
        <v>#REF!</v>
      </c>
      <c r="L65" s="171" t="s">
        <v>196</v>
      </c>
    </row>
    <row r="66" spans="1:13" s="171" customFormat="1" ht="12.75" outlineLevel="3" x14ac:dyDescent="0.2">
      <c r="A66" s="171" t="s">
        <v>0</v>
      </c>
      <c r="B66" s="171" t="s">
        <v>292</v>
      </c>
      <c r="E66" s="172" t="s">
        <v>179</v>
      </c>
      <c r="F66" s="173">
        <v>1</v>
      </c>
      <c r="G66" s="234" t="e">
        <f t="shared" si="9"/>
        <v>#REF!</v>
      </c>
      <c r="H66" s="234" t="e">
        <f>F66*G66</f>
        <v>#REF!</v>
      </c>
      <c r="I66" s="234" t="e">
        <f>#REF!</f>
        <v>#REF!</v>
      </c>
      <c r="J66" s="234" t="e">
        <f>F66*I66</f>
        <v>#REF!</v>
      </c>
      <c r="K66" s="176" t="e">
        <f t="shared" si="10"/>
        <v>#REF!</v>
      </c>
      <c r="L66" s="171" t="s">
        <v>196</v>
      </c>
    </row>
    <row r="67" spans="1:13" s="171" customFormat="1" ht="12.75" outlineLevel="3" x14ac:dyDescent="0.2">
      <c r="A67" s="171" t="s">
        <v>0</v>
      </c>
      <c r="B67" s="171" t="s">
        <v>292</v>
      </c>
      <c r="E67" s="172" t="s">
        <v>180</v>
      </c>
      <c r="F67" s="173">
        <v>0</v>
      </c>
      <c r="G67" s="234" t="e">
        <f t="shared" si="9"/>
        <v>#REF!</v>
      </c>
      <c r="H67" s="234" t="e">
        <f>F67*G67</f>
        <v>#REF!</v>
      </c>
      <c r="I67" s="234" t="e">
        <f>#REF!</f>
        <v>#REF!</v>
      </c>
      <c r="J67" s="234" t="e">
        <f>F67*I67</f>
        <v>#REF!</v>
      </c>
      <c r="K67" s="176" t="e">
        <f t="shared" si="10"/>
        <v>#REF!</v>
      </c>
      <c r="L67" s="171" t="s">
        <v>196</v>
      </c>
    </row>
    <row r="68" spans="1:13" s="171" customFormat="1" ht="12.75" outlineLevel="2" x14ac:dyDescent="0.2">
      <c r="A68" s="191"/>
      <c r="B68" s="191"/>
      <c r="C68" s="191"/>
      <c r="D68" s="191"/>
      <c r="E68" s="187" t="s">
        <v>263</v>
      </c>
      <c r="F68" s="188"/>
      <c r="G68" s="236"/>
      <c r="H68" s="236" t="e">
        <f>SUM(H62:H67)</f>
        <v>#REF!</v>
      </c>
      <c r="I68" s="236"/>
      <c r="J68" s="236" t="e">
        <f>SUM(J62:J67)</f>
        <v>#REF!</v>
      </c>
      <c r="K68" s="190" t="e">
        <f t="shared" si="10"/>
        <v>#REF!</v>
      </c>
      <c r="L68" s="191"/>
      <c r="M68" s="191"/>
    </row>
    <row r="69" spans="1:13" s="171" customFormat="1" ht="15" customHeight="1" outlineLevel="2" x14ac:dyDescent="0.25">
      <c r="A69" s="409" t="s">
        <v>148</v>
      </c>
      <c r="B69" s="409"/>
      <c r="C69" s="409"/>
      <c r="D69" s="409"/>
      <c r="E69" s="409"/>
      <c r="F69" s="199"/>
      <c r="G69" s="237"/>
      <c r="H69" s="237"/>
      <c r="I69" s="237"/>
      <c r="J69" s="237"/>
      <c r="K69" s="199"/>
      <c r="L69" s="199"/>
      <c r="M69" s="199"/>
    </row>
    <row r="70" spans="1:13" s="171" customFormat="1" ht="25.5" outlineLevel="3" x14ac:dyDescent="0.2">
      <c r="A70" s="171" t="s">
        <v>0</v>
      </c>
      <c r="B70" s="171" t="s">
        <v>292</v>
      </c>
      <c r="C70" s="171" t="s">
        <v>171</v>
      </c>
      <c r="E70" s="172" t="s">
        <v>154</v>
      </c>
      <c r="F70" s="173" t="e">
        <f>D7*2</f>
        <v>#REF!</v>
      </c>
      <c r="G70" s="234" t="e">
        <f t="shared" ref="G70:G76" si="11">I70/0.75</f>
        <v>#REF!</v>
      </c>
      <c r="H70" s="234" t="e">
        <f t="shared" ref="H70:H76" si="12">F70*G70</f>
        <v>#REF!</v>
      </c>
      <c r="I70" s="234" t="e">
        <f>#REF!</f>
        <v>#REF!</v>
      </c>
      <c r="J70" s="234" t="e">
        <f t="shared" ref="J70:J76" si="13">F70*I70</f>
        <v>#REF!</v>
      </c>
      <c r="K70" s="176" t="e">
        <f t="shared" ref="K70:K77" si="14">1-(J70/H70)</f>
        <v>#REF!</v>
      </c>
      <c r="L70" s="171" t="s">
        <v>196</v>
      </c>
    </row>
    <row r="71" spans="1:13" s="171" customFormat="1" ht="25.35" customHeight="1" outlineLevel="3" x14ac:dyDescent="0.2">
      <c r="A71" s="171" t="s">
        <v>0</v>
      </c>
      <c r="B71" s="171" t="s">
        <v>292</v>
      </c>
      <c r="C71" s="171" t="s">
        <v>171</v>
      </c>
      <c r="E71" s="172" t="s">
        <v>172</v>
      </c>
      <c r="F71" s="173" t="e">
        <f>D7*2</f>
        <v>#REF!</v>
      </c>
      <c r="G71" s="234" t="e">
        <f t="shared" si="11"/>
        <v>#REF!</v>
      </c>
      <c r="H71" s="234" t="e">
        <f t="shared" si="12"/>
        <v>#REF!</v>
      </c>
      <c r="I71" s="234" t="e">
        <f>#REF!</f>
        <v>#REF!</v>
      </c>
      <c r="J71" s="234" t="e">
        <f t="shared" si="13"/>
        <v>#REF!</v>
      </c>
      <c r="K71" s="176" t="e">
        <f t="shared" si="14"/>
        <v>#REF!</v>
      </c>
      <c r="L71" s="171" t="s">
        <v>196</v>
      </c>
    </row>
    <row r="72" spans="1:13" s="171" customFormat="1" ht="12.75" outlineLevel="3" x14ac:dyDescent="0.2">
      <c r="A72" s="171" t="s">
        <v>0</v>
      </c>
      <c r="B72" s="171" t="s">
        <v>292</v>
      </c>
      <c r="C72" s="171" t="s">
        <v>171</v>
      </c>
      <c r="E72" s="172" t="s">
        <v>155</v>
      </c>
      <c r="F72" s="173" t="e">
        <f>D7*2</f>
        <v>#REF!</v>
      </c>
      <c r="G72" s="234" t="e">
        <f t="shared" si="11"/>
        <v>#REF!</v>
      </c>
      <c r="H72" s="234" t="e">
        <f t="shared" si="12"/>
        <v>#REF!</v>
      </c>
      <c r="I72" s="234" t="e">
        <f>#REF!</f>
        <v>#REF!</v>
      </c>
      <c r="J72" s="234" t="e">
        <f t="shared" si="13"/>
        <v>#REF!</v>
      </c>
      <c r="K72" s="176" t="e">
        <f t="shared" si="14"/>
        <v>#REF!</v>
      </c>
      <c r="L72" s="171" t="s">
        <v>196</v>
      </c>
    </row>
    <row r="73" spans="1:13" s="171" customFormat="1" ht="24" customHeight="1" outlineLevel="3" x14ac:dyDescent="0.2">
      <c r="A73" s="171" t="s">
        <v>0</v>
      </c>
      <c r="B73" s="171" t="s">
        <v>292</v>
      </c>
      <c r="C73" s="171" t="s">
        <v>171</v>
      </c>
      <c r="E73" s="172" t="s">
        <v>156</v>
      </c>
      <c r="F73" s="173" t="e">
        <f>D7*2</f>
        <v>#REF!</v>
      </c>
      <c r="G73" s="234" t="e">
        <f t="shared" si="11"/>
        <v>#REF!</v>
      </c>
      <c r="H73" s="234" t="e">
        <f t="shared" si="12"/>
        <v>#REF!</v>
      </c>
      <c r="I73" s="234" t="e">
        <f>#REF!</f>
        <v>#REF!</v>
      </c>
      <c r="J73" s="234" t="e">
        <f t="shared" si="13"/>
        <v>#REF!</v>
      </c>
      <c r="K73" s="176" t="e">
        <f t="shared" si="14"/>
        <v>#REF!</v>
      </c>
      <c r="L73" s="171" t="s">
        <v>196</v>
      </c>
    </row>
    <row r="74" spans="1:13" s="171" customFormat="1" ht="25.5" outlineLevel="3" x14ac:dyDescent="0.2">
      <c r="A74" s="171" t="s">
        <v>0</v>
      </c>
      <c r="B74" s="171" t="s">
        <v>292</v>
      </c>
      <c r="C74" s="171" t="s">
        <v>171</v>
      </c>
      <c r="E74" s="172" t="s">
        <v>154</v>
      </c>
      <c r="F74" s="173" t="e">
        <f>ROUNDUP($D$8*$D$7,0)*2</f>
        <v>#REF!</v>
      </c>
      <c r="G74" s="234" t="e">
        <f t="shared" si="11"/>
        <v>#REF!</v>
      </c>
      <c r="H74" s="234" t="e">
        <f t="shared" si="12"/>
        <v>#REF!</v>
      </c>
      <c r="I74" s="234" t="e">
        <f>#REF!</f>
        <v>#REF!</v>
      </c>
      <c r="J74" s="234" t="e">
        <f t="shared" si="13"/>
        <v>#REF!</v>
      </c>
      <c r="K74" s="176" t="e">
        <f t="shared" si="14"/>
        <v>#REF!</v>
      </c>
      <c r="L74" s="171" t="s">
        <v>196</v>
      </c>
    </row>
    <row r="75" spans="1:13" s="171" customFormat="1" ht="25.5" outlineLevel="3" x14ac:dyDescent="0.2">
      <c r="A75" s="171" t="s">
        <v>0</v>
      </c>
      <c r="B75" s="171" t="s">
        <v>292</v>
      </c>
      <c r="C75" s="171" t="s">
        <v>171</v>
      </c>
      <c r="E75" s="172" t="s">
        <v>172</v>
      </c>
      <c r="F75" s="173" t="e">
        <f>ROUNDUP($D$8*$D$7,0)*2</f>
        <v>#REF!</v>
      </c>
      <c r="G75" s="234" t="e">
        <f t="shared" si="11"/>
        <v>#REF!</v>
      </c>
      <c r="H75" s="234" t="e">
        <f t="shared" si="12"/>
        <v>#REF!</v>
      </c>
      <c r="I75" s="234" t="e">
        <f>#REF!</f>
        <v>#REF!</v>
      </c>
      <c r="J75" s="234" t="e">
        <f t="shared" si="13"/>
        <v>#REF!</v>
      </c>
      <c r="K75" s="176" t="e">
        <f t="shared" si="14"/>
        <v>#REF!</v>
      </c>
      <c r="L75" s="171" t="s">
        <v>196</v>
      </c>
    </row>
    <row r="76" spans="1:13" s="171" customFormat="1" ht="12.75" outlineLevel="3" x14ac:dyDescent="0.2">
      <c r="A76" s="171" t="s">
        <v>0</v>
      </c>
      <c r="B76" s="171" t="s">
        <v>292</v>
      </c>
      <c r="C76" s="171" t="s">
        <v>171</v>
      </c>
      <c r="E76" s="172" t="s">
        <v>155</v>
      </c>
      <c r="F76" s="173" t="e">
        <f>ROUNDUP($D$8*$D$7,0)*2</f>
        <v>#REF!</v>
      </c>
      <c r="G76" s="234" t="e">
        <f t="shared" si="11"/>
        <v>#REF!</v>
      </c>
      <c r="H76" s="234" t="e">
        <f t="shared" si="12"/>
        <v>#REF!</v>
      </c>
      <c r="I76" s="234" t="e">
        <f>#REF!</f>
        <v>#REF!</v>
      </c>
      <c r="J76" s="234" t="e">
        <f t="shared" si="13"/>
        <v>#REF!</v>
      </c>
      <c r="K76" s="176" t="e">
        <f t="shared" si="14"/>
        <v>#REF!</v>
      </c>
      <c r="L76" s="171" t="s">
        <v>196</v>
      </c>
    </row>
    <row r="77" spans="1:13" s="171" customFormat="1" ht="12.75" outlineLevel="2" x14ac:dyDescent="0.2">
      <c r="A77" s="191"/>
      <c r="B77" s="191"/>
      <c r="C77" s="191"/>
      <c r="D77" s="191"/>
      <c r="E77" s="187" t="s">
        <v>264</v>
      </c>
      <c r="F77" s="188"/>
      <c r="G77" s="236"/>
      <c r="H77" s="236" t="e">
        <f>SUM(H70:H76)</f>
        <v>#REF!</v>
      </c>
      <c r="I77" s="236"/>
      <c r="J77" s="236" t="e">
        <f>SUM(J70:J76)</f>
        <v>#REF!</v>
      </c>
      <c r="K77" s="190" t="e">
        <f t="shared" si="14"/>
        <v>#REF!</v>
      </c>
      <c r="L77" s="191"/>
      <c r="M77" s="191"/>
    </row>
    <row r="78" spans="1:13" s="171" customFormat="1" ht="15" customHeight="1" outlineLevel="2" x14ac:dyDescent="0.25">
      <c r="A78" s="409" t="s">
        <v>136</v>
      </c>
      <c r="B78" s="409"/>
      <c r="C78" s="409"/>
      <c r="D78" s="409"/>
      <c r="E78" s="409"/>
      <c r="F78" s="199"/>
      <c r="G78" s="237"/>
      <c r="H78" s="237"/>
      <c r="I78" s="237"/>
      <c r="J78" s="237"/>
      <c r="K78" s="199"/>
      <c r="L78" s="199"/>
      <c r="M78" s="199"/>
    </row>
    <row r="79" spans="1:13" s="171" customFormat="1" ht="12" customHeight="1" outlineLevel="3" x14ac:dyDescent="0.2">
      <c r="A79" s="171" t="s">
        <v>0</v>
      </c>
      <c r="B79" s="171" t="s">
        <v>292</v>
      </c>
      <c r="E79" s="172" t="s">
        <v>9</v>
      </c>
      <c r="F79" s="173" t="e">
        <f>ROUNDUP(10%*$D$7,0)</f>
        <v>#REF!</v>
      </c>
      <c r="G79" s="234" t="e">
        <f t="shared" ref="G79:G84" si="15">I79/0.75</f>
        <v>#REF!</v>
      </c>
      <c r="H79" s="234" t="e">
        <f>F79*G79</f>
        <v>#REF!</v>
      </c>
      <c r="I79" s="234" t="e">
        <f>#REF!+#REF!</f>
        <v>#REF!</v>
      </c>
      <c r="J79" s="234" t="e">
        <f>F79*I79</f>
        <v>#REF!</v>
      </c>
      <c r="K79" s="176" t="e">
        <f t="shared" ref="K79:K85" si="16">1-(J79/H79)</f>
        <v>#REF!</v>
      </c>
      <c r="L79" s="171" t="s">
        <v>196</v>
      </c>
    </row>
    <row r="80" spans="1:13" s="171" customFormat="1" ht="12.75" outlineLevel="3" x14ac:dyDescent="0.2">
      <c r="A80" s="171" t="s">
        <v>0</v>
      </c>
      <c r="B80" s="171" t="s">
        <v>292</v>
      </c>
      <c r="E80" s="172" t="s">
        <v>6</v>
      </c>
      <c r="F80" s="173" t="e">
        <f>ROUNDUP(110%*$D$7,0)</f>
        <v>#REF!</v>
      </c>
      <c r="G80" s="234">
        <f t="shared" si="15"/>
        <v>6.666666666666667</v>
      </c>
      <c r="H80" s="234" t="e">
        <f>F80*G80*6</f>
        <v>#REF!</v>
      </c>
      <c r="I80" s="234">
        <v>5</v>
      </c>
      <c r="J80" s="234" t="e">
        <f>F80*I80*6</f>
        <v>#REF!</v>
      </c>
      <c r="K80" s="176" t="e">
        <f t="shared" si="16"/>
        <v>#REF!</v>
      </c>
      <c r="L80" s="171" t="s">
        <v>196</v>
      </c>
    </row>
    <row r="81" spans="1:13" s="171" customFormat="1" ht="25.5" outlineLevel="3" x14ac:dyDescent="0.2">
      <c r="A81" s="171" t="s">
        <v>0</v>
      </c>
      <c r="B81" s="171" t="s">
        <v>292</v>
      </c>
      <c r="E81" s="172" t="s">
        <v>160</v>
      </c>
      <c r="F81" s="173">
        <v>2</v>
      </c>
      <c r="G81" s="234">
        <f t="shared" si="15"/>
        <v>2133.3333333333335</v>
      </c>
      <c r="H81" s="234">
        <f>F81*G81</f>
        <v>4266.666666666667</v>
      </c>
      <c r="I81" s="234">
        <v>1600</v>
      </c>
      <c r="J81" s="234">
        <f>F81*I81</f>
        <v>3200</v>
      </c>
      <c r="K81" s="176">
        <f t="shared" si="16"/>
        <v>0.25</v>
      </c>
      <c r="L81" s="171" t="s">
        <v>196</v>
      </c>
    </row>
    <row r="82" spans="1:13" s="171" customFormat="1" ht="12" customHeight="1" outlineLevel="3" x14ac:dyDescent="0.2">
      <c r="A82" s="171" t="s">
        <v>0</v>
      </c>
      <c r="B82" s="171" t="s">
        <v>292</v>
      </c>
      <c r="E82" s="172" t="s">
        <v>12</v>
      </c>
      <c r="F82" s="173">
        <v>1</v>
      </c>
      <c r="G82" s="234">
        <f t="shared" si="15"/>
        <v>4666.666666666667</v>
      </c>
      <c r="H82" s="234">
        <f>F82*G82</f>
        <v>4666.666666666667</v>
      </c>
      <c r="I82" s="234">
        <v>3500</v>
      </c>
      <c r="J82" s="234">
        <f>F82*I82</f>
        <v>3500</v>
      </c>
      <c r="K82" s="176">
        <f t="shared" si="16"/>
        <v>0.25</v>
      </c>
      <c r="L82" s="171" t="s">
        <v>196</v>
      </c>
    </row>
    <row r="83" spans="1:13" s="171" customFormat="1" ht="12.75" outlineLevel="3" x14ac:dyDescent="0.2">
      <c r="A83" s="171" t="s">
        <v>0</v>
      </c>
      <c r="B83" s="171" t="s">
        <v>292</v>
      </c>
      <c r="E83" s="172" t="s">
        <v>137</v>
      </c>
      <c r="F83" s="173" t="e">
        <f>ROUNDUP(5%*$D$7,0)</f>
        <v>#REF!</v>
      </c>
      <c r="G83" s="234">
        <f t="shared" si="15"/>
        <v>2000</v>
      </c>
      <c r="H83" s="234" t="e">
        <f>F83*G83</f>
        <v>#REF!</v>
      </c>
      <c r="I83" s="234">
        <v>1500</v>
      </c>
      <c r="J83" s="234" t="e">
        <f>F83*I83</f>
        <v>#REF!</v>
      </c>
      <c r="K83" s="176" t="e">
        <f t="shared" si="16"/>
        <v>#REF!</v>
      </c>
      <c r="L83" s="171" t="s">
        <v>196</v>
      </c>
    </row>
    <row r="84" spans="1:13" s="171" customFormat="1" ht="12.75" customHeight="1" outlineLevel="3" x14ac:dyDescent="0.2">
      <c r="A84" s="171" t="s">
        <v>0</v>
      </c>
      <c r="B84" s="171" t="s">
        <v>292</v>
      </c>
      <c r="E84" s="172" t="s">
        <v>11</v>
      </c>
      <c r="F84" s="173" t="e">
        <f t="shared" ref="F84" si="17">$D$7</f>
        <v>#REF!</v>
      </c>
      <c r="G84" s="235" t="e">
        <f t="shared" si="15"/>
        <v>#REF!</v>
      </c>
      <c r="H84" s="235" t="e">
        <f>F84*G84</f>
        <v>#REF!</v>
      </c>
      <c r="I84" s="235" t="e">
        <f>#REF!+#REF!+#REF!+#REF!</f>
        <v>#REF!</v>
      </c>
      <c r="J84" s="235" t="e">
        <f>F84*I84</f>
        <v>#REF!</v>
      </c>
      <c r="K84" s="176" t="e">
        <f t="shared" si="16"/>
        <v>#REF!</v>
      </c>
      <c r="L84" s="171" t="s">
        <v>196</v>
      </c>
    </row>
    <row r="85" spans="1:13" s="171" customFormat="1" ht="12.75" outlineLevel="2" x14ac:dyDescent="0.2">
      <c r="A85" s="191"/>
      <c r="B85" s="191"/>
      <c r="C85" s="191"/>
      <c r="D85" s="191"/>
      <c r="E85" s="187" t="s">
        <v>265</v>
      </c>
      <c r="F85" s="188"/>
      <c r="G85" s="236"/>
      <c r="H85" s="236" t="e">
        <f>SUM(H79:H84)</f>
        <v>#REF!</v>
      </c>
      <c r="I85" s="236"/>
      <c r="J85" s="236" t="e">
        <f>SUM(J79:J84)</f>
        <v>#REF!</v>
      </c>
      <c r="K85" s="190" t="e">
        <f t="shared" si="16"/>
        <v>#REF!</v>
      </c>
      <c r="L85" s="191"/>
      <c r="M85" s="191"/>
    </row>
    <row r="86" spans="1:13" s="171" customFormat="1" ht="15" customHeight="1" outlineLevel="2" x14ac:dyDescent="0.25">
      <c r="A86" s="409" t="s">
        <v>17</v>
      </c>
      <c r="B86" s="409"/>
      <c r="C86" s="409"/>
      <c r="D86" s="409"/>
      <c r="E86" s="409"/>
      <c r="F86" s="199"/>
      <c r="G86" s="237"/>
      <c r="H86" s="237"/>
      <c r="I86" s="237"/>
      <c r="J86" s="237"/>
      <c r="K86" s="199"/>
      <c r="L86" s="199"/>
      <c r="M86" s="199"/>
    </row>
    <row r="87" spans="1:13" s="171" customFormat="1" ht="12.75" outlineLevel="3" x14ac:dyDescent="0.2">
      <c r="A87" s="171" t="s">
        <v>0</v>
      </c>
      <c r="B87" s="171" t="s">
        <v>292</v>
      </c>
      <c r="E87" s="172" t="s">
        <v>219</v>
      </c>
      <c r="F87" s="173">
        <v>1</v>
      </c>
      <c r="G87" s="234" t="e">
        <f>I87/0.75</f>
        <v>#REF!</v>
      </c>
      <c r="H87" s="234" t="e">
        <f t="shared" ref="H87:H92" si="18">F87*G87</f>
        <v>#REF!</v>
      </c>
      <c r="I87" s="234" t="e">
        <f>#REF!*$D$7/1376</f>
        <v>#REF!</v>
      </c>
      <c r="J87" s="234" t="e">
        <f t="shared" ref="J87:J92" si="19">F87*I87</f>
        <v>#REF!</v>
      </c>
      <c r="K87" s="176" t="e">
        <f t="shared" ref="K87:K92" si="20">1-(J87/H87)</f>
        <v>#REF!</v>
      </c>
      <c r="L87" s="171" t="s">
        <v>195</v>
      </c>
      <c r="M87" s="171" t="s">
        <v>203</v>
      </c>
    </row>
    <row r="88" spans="1:13" s="171" customFormat="1" ht="12" customHeight="1" outlineLevel="3" x14ac:dyDescent="0.2">
      <c r="A88" s="171" t="s">
        <v>0</v>
      </c>
      <c r="B88" s="171" t="s">
        <v>292</v>
      </c>
      <c r="E88" s="172" t="s">
        <v>70</v>
      </c>
      <c r="F88" s="173">
        <v>1</v>
      </c>
      <c r="G88" s="234">
        <f>I88/0.7</f>
        <v>214285.71428571429</v>
      </c>
      <c r="H88" s="234">
        <f t="shared" si="18"/>
        <v>214285.71428571429</v>
      </c>
      <c r="I88" s="234">
        <v>150000</v>
      </c>
      <c r="J88" s="234">
        <f t="shared" si="19"/>
        <v>150000</v>
      </c>
      <c r="K88" s="176">
        <f t="shared" si="20"/>
        <v>0.30000000000000004</v>
      </c>
      <c r="L88" s="171" t="s">
        <v>195</v>
      </c>
      <c r="M88" s="171" t="s">
        <v>204</v>
      </c>
    </row>
    <row r="89" spans="1:13" s="171" customFormat="1" ht="12.75" outlineLevel="3" x14ac:dyDescent="0.2">
      <c r="A89" s="171" t="s">
        <v>0</v>
      </c>
      <c r="B89" s="171" t="s">
        <v>292</v>
      </c>
      <c r="E89" s="172" t="s">
        <v>87</v>
      </c>
      <c r="F89" s="173" t="e">
        <f>D7</f>
        <v>#REF!</v>
      </c>
      <c r="G89" s="234" t="e">
        <f>I89/0.75</f>
        <v>#REF!</v>
      </c>
      <c r="H89" s="234" t="e">
        <f t="shared" si="18"/>
        <v>#REF!</v>
      </c>
      <c r="I89" s="234" t="e">
        <f>#REF!</f>
        <v>#REF!</v>
      </c>
      <c r="J89" s="234" t="e">
        <f t="shared" si="19"/>
        <v>#REF!</v>
      </c>
      <c r="K89" s="176" t="e">
        <f t="shared" si="20"/>
        <v>#REF!</v>
      </c>
      <c r="L89" s="171" t="s">
        <v>195</v>
      </c>
      <c r="M89" s="171" t="s">
        <v>204</v>
      </c>
    </row>
    <row r="90" spans="1:13" s="171" customFormat="1" ht="12.75" outlineLevel="3" x14ac:dyDescent="0.2">
      <c r="A90" s="171" t="s">
        <v>0</v>
      </c>
      <c r="B90" s="171" t="s">
        <v>292</v>
      </c>
      <c r="E90" s="172" t="s">
        <v>168</v>
      </c>
      <c r="F90" s="173">
        <v>6</v>
      </c>
      <c r="G90" s="234">
        <f>I90/0.7</f>
        <v>28571.428571428572</v>
      </c>
      <c r="H90" s="234">
        <f t="shared" si="18"/>
        <v>171428.57142857142</v>
      </c>
      <c r="I90" s="234">
        <v>20000</v>
      </c>
      <c r="J90" s="234">
        <f t="shared" si="19"/>
        <v>120000</v>
      </c>
      <c r="K90" s="176">
        <f t="shared" si="20"/>
        <v>0.29999999999999993</v>
      </c>
      <c r="L90" s="171" t="s">
        <v>195</v>
      </c>
      <c r="M90" s="171" t="s">
        <v>204</v>
      </c>
    </row>
    <row r="91" spans="1:13" s="171" customFormat="1" ht="12.75" outlineLevel="3" x14ac:dyDescent="0.2">
      <c r="A91" s="171" t="s">
        <v>0</v>
      </c>
      <c r="B91" s="171" t="s">
        <v>292</v>
      </c>
      <c r="E91" s="172" t="s">
        <v>169</v>
      </c>
      <c r="F91" s="173">
        <v>1</v>
      </c>
      <c r="G91" s="234">
        <f>I91/0.75</f>
        <v>266666.66666666669</v>
      </c>
      <c r="H91" s="234">
        <f t="shared" si="18"/>
        <v>266666.66666666669</v>
      </c>
      <c r="I91" s="234">
        <v>200000</v>
      </c>
      <c r="J91" s="234">
        <f t="shared" si="19"/>
        <v>200000</v>
      </c>
      <c r="K91" s="176">
        <f t="shared" si="20"/>
        <v>0.25</v>
      </c>
      <c r="L91" s="171" t="s">
        <v>195</v>
      </c>
      <c r="M91" s="171" t="s">
        <v>204</v>
      </c>
    </row>
    <row r="92" spans="1:13" s="171" customFormat="1" ht="12.75" outlineLevel="3" x14ac:dyDescent="0.2">
      <c r="A92" s="171" t="s">
        <v>0</v>
      </c>
      <c r="B92" s="171" t="s">
        <v>292</v>
      </c>
      <c r="E92" s="172" t="s">
        <v>226</v>
      </c>
      <c r="F92" s="173">
        <v>8</v>
      </c>
      <c r="G92" s="234">
        <f>I92/0.75</f>
        <v>10133.333333333334</v>
      </c>
      <c r="H92" s="234">
        <f t="shared" si="18"/>
        <v>81066.666666666672</v>
      </c>
      <c r="I92" s="234">
        <v>7600</v>
      </c>
      <c r="J92" s="234">
        <f t="shared" si="19"/>
        <v>60800</v>
      </c>
      <c r="K92" s="176">
        <f t="shared" si="20"/>
        <v>0.25</v>
      </c>
    </row>
    <row r="93" spans="1:13" s="171" customFormat="1" ht="12.75" outlineLevel="2" x14ac:dyDescent="0.2">
      <c r="A93" s="191"/>
      <c r="B93" s="191"/>
      <c r="C93" s="191"/>
      <c r="D93" s="191"/>
      <c r="E93" s="187" t="s">
        <v>266</v>
      </c>
      <c r="F93" s="188"/>
      <c r="G93" s="236"/>
      <c r="H93" s="236" t="e">
        <f>SUM(H87:H92)</f>
        <v>#REF!</v>
      </c>
      <c r="I93" s="236"/>
      <c r="J93" s="236" t="e">
        <f>SUM(J87:J92)</f>
        <v>#REF!</v>
      </c>
      <c r="K93" s="190" t="e">
        <f>1-(J93/H93)</f>
        <v>#REF!</v>
      </c>
      <c r="L93" s="191"/>
      <c r="M93" s="191"/>
    </row>
    <row r="94" spans="1:13" s="171" customFormat="1" ht="15" customHeight="1" outlineLevel="2" x14ac:dyDescent="0.25">
      <c r="A94" s="409" t="s">
        <v>146</v>
      </c>
      <c r="B94" s="409"/>
      <c r="C94" s="409"/>
      <c r="D94" s="409"/>
      <c r="E94" s="409"/>
      <c r="F94" s="199"/>
      <c r="G94" s="237"/>
      <c r="H94" s="237"/>
      <c r="I94" s="237"/>
      <c r="J94" s="237"/>
      <c r="K94" s="199"/>
      <c r="L94" s="199"/>
      <c r="M94" s="199"/>
    </row>
    <row r="95" spans="1:13" s="171" customFormat="1" ht="13.35" customHeight="1" outlineLevel="3" x14ac:dyDescent="0.2">
      <c r="A95" s="171" t="s">
        <v>0</v>
      </c>
      <c r="B95" s="171" t="s">
        <v>292</v>
      </c>
      <c r="E95" s="172" t="s">
        <v>181</v>
      </c>
      <c r="F95" s="173" t="e">
        <f>$D$7</f>
        <v>#REF!</v>
      </c>
      <c r="G95" s="234">
        <f>I95/0.75</f>
        <v>333.33333333333331</v>
      </c>
      <c r="H95" s="234" t="e">
        <f>F95*G95</f>
        <v>#REF!</v>
      </c>
      <c r="I95" s="234">
        <v>250</v>
      </c>
      <c r="J95" s="234" t="e">
        <f>F95*I95</f>
        <v>#REF!</v>
      </c>
      <c r="K95" s="176" t="e">
        <f t="shared" ref="K95:K101" si="21">1-(J95/H95)</f>
        <v>#REF!</v>
      </c>
      <c r="L95" s="171" t="s">
        <v>196</v>
      </c>
    </row>
    <row r="96" spans="1:13" s="171" customFormat="1" ht="12.75" outlineLevel="3" x14ac:dyDescent="0.2">
      <c r="A96" s="171" t="s">
        <v>0</v>
      </c>
      <c r="B96" s="171" t="s">
        <v>292</v>
      </c>
      <c r="E96" s="172" t="s">
        <v>185</v>
      </c>
      <c r="F96" s="173" t="e">
        <f>ROUNDUP($D$8*$D$7,0)</f>
        <v>#REF!</v>
      </c>
      <c r="G96" s="234">
        <f>I96/0.75</f>
        <v>333.33333333333331</v>
      </c>
      <c r="H96" s="234" t="e">
        <f>F96*G96</f>
        <v>#REF!</v>
      </c>
      <c r="I96" s="234">
        <v>250</v>
      </c>
      <c r="J96" s="234" t="e">
        <f>F96*I96</f>
        <v>#REF!</v>
      </c>
      <c r="K96" s="176" t="e">
        <f t="shared" si="21"/>
        <v>#REF!</v>
      </c>
      <c r="L96" s="171" t="s">
        <v>196</v>
      </c>
    </row>
    <row r="97" spans="1:13" s="171" customFormat="1" ht="12.75" outlineLevel="3" x14ac:dyDescent="0.2">
      <c r="A97" s="171" t="s">
        <v>0</v>
      </c>
      <c r="B97" s="171" t="s">
        <v>292</v>
      </c>
      <c r="E97" s="172" t="s">
        <v>182</v>
      </c>
      <c r="F97" s="173">
        <v>1</v>
      </c>
      <c r="G97" s="234" t="e">
        <f>I97/0.75</f>
        <v>#REF!</v>
      </c>
      <c r="H97" s="234" t="e">
        <f>F97*G97</f>
        <v>#REF!</v>
      </c>
      <c r="I97" s="234" t="e">
        <f>#REF!</f>
        <v>#REF!</v>
      </c>
      <c r="J97" s="234" t="e">
        <f>F97*I97</f>
        <v>#REF!</v>
      </c>
      <c r="K97" s="176" t="e">
        <f t="shared" si="21"/>
        <v>#REF!</v>
      </c>
      <c r="L97" s="171" t="s">
        <v>196</v>
      </c>
    </row>
    <row r="98" spans="1:13" s="171" customFormat="1" ht="12.75" outlineLevel="3" x14ac:dyDescent="0.2">
      <c r="A98" s="171" t="s">
        <v>0</v>
      </c>
      <c r="B98" s="171" t="s">
        <v>292</v>
      </c>
      <c r="E98" s="172" t="s">
        <v>183</v>
      </c>
      <c r="F98" s="173">
        <v>1</v>
      </c>
      <c r="G98" s="234" t="e">
        <f>I98/0.75</f>
        <v>#REF!</v>
      </c>
      <c r="H98" s="234" t="e">
        <f>F98*G98</f>
        <v>#REF!</v>
      </c>
      <c r="I98" s="234" t="e">
        <f>#REF!</f>
        <v>#REF!</v>
      </c>
      <c r="J98" s="234" t="e">
        <f>F98*I98</f>
        <v>#REF!</v>
      </c>
      <c r="K98" s="176" t="e">
        <f t="shared" si="21"/>
        <v>#REF!</v>
      </c>
      <c r="L98" s="171" t="s">
        <v>196</v>
      </c>
    </row>
    <row r="99" spans="1:13" s="171" customFormat="1" ht="12.75" outlineLevel="3" x14ac:dyDescent="0.2">
      <c r="A99" s="171" t="s">
        <v>0</v>
      </c>
      <c r="B99" s="171" t="s">
        <v>292</v>
      </c>
      <c r="E99" s="172" t="s">
        <v>184</v>
      </c>
      <c r="F99" s="173">
        <v>1</v>
      </c>
      <c r="G99" s="235" t="e">
        <f>I99/0.75</f>
        <v>#REF!</v>
      </c>
      <c r="H99" s="235" t="e">
        <f>F99*G99</f>
        <v>#REF!</v>
      </c>
      <c r="I99" s="235" t="e">
        <f>#REF!</f>
        <v>#REF!</v>
      </c>
      <c r="J99" s="235" t="e">
        <f>F99*I99</f>
        <v>#REF!</v>
      </c>
      <c r="K99" s="176" t="e">
        <f t="shared" si="21"/>
        <v>#REF!</v>
      </c>
      <c r="L99" s="171" t="s">
        <v>196</v>
      </c>
    </row>
    <row r="100" spans="1:13" s="171" customFormat="1" ht="13.5" outlineLevel="2" thickBot="1" x14ac:dyDescent="0.25">
      <c r="A100" s="196"/>
      <c r="B100" s="196"/>
      <c r="C100" s="196"/>
      <c r="D100" s="196"/>
      <c r="E100" s="192" t="s">
        <v>267</v>
      </c>
      <c r="F100" s="193"/>
      <c r="G100" s="238"/>
      <c r="H100" s="238" t="e">
        <f>SUM(H95:H99)</f>
        <v>#REF!</v>
      </c>
      <c r="I100" s="238"/>
      <c r="J100" s="238" t="e">
        <f>SUM(J95:J99)</f>
        <v>#REF!</v>
      </c>
      <c r="K100" s="195" t="e">
        <f t="shared" si="21"/>
        <v>#REF!</v>
      </c>
      <c r="L100" s="196"/>
      <c r="M100" s="196"/>
    </row>
    <row r="101" spans="1:13" s="207" customFormat="1" ht="15" customHeight="1" outlineLevel="1" thickTop="1" x14ac:dyDescent="0.2">
      <c r="A101" s="403" t="s">
        <v>268</v>
      </c>
      <c r="B101" s="403"/>
      <c r="C101" s="403"/>
      <c r="D101" s="403"/>
      <c r="E101" s="403"/>
      <c r="F101" s="206"/>
      <c r="G101" s="239"/>
      <c r="H101" s="239" t="e">
        <f>H100+H93+H85+H77+H68+H60+H57+H53+H49</f>
        <v>#REF!</v>
      </c>
      <c r="I101" s="239"/>
      <c r="J101" s="239" t="e">
        <f>J100+J93+J85+J77+J68+J60+J57+J53+J49</f>
        <v>#REF!</v>
      </c>
      <c r="K101" s="209" t="e">
        <f t="shared" si="21"/>
        <v>#REF!</v>
      </c>
    </row>
    <row r="102" spans="1:13" s="171" customFormat="1" ht="6" customHeight="1" outlineLevel="1" thickBot="1" x14ac:dyDescent="0.25">
      <c r="A102" s="178"/>
      <c r="B102" s="178"/>
      <c r="C102" s="178"/>
      <c r="D102" s="178"/>
      <c r="E102" s="211"/>
      <c r="F102" s="212"/>
      <c r="G102" s="240"/>
      <c r="H102" s="240"/>
      <c r="I102" s="240"/>
      <c r="J102" s="240"/>
      <c r="K102" s="177"/>
      <c r="L102" s="178"/>
      <c r="M102" s="178"/>
    </row>
    <row r="103" spans="1:13" s="233" customFormat="1" ht="15" customHeight="1" thickTop="1" x14ac:dyDescent="0.25">
      <c r="A103" s="408" t="s">
        <v>280</v>
      </c>
      <c r="B103" s="408"/>
      <c r="C103" s="408"/>
      <c r="D103" s="408"/>
      <c r="E103" s="408"/>
      <c r="F103" s="231"/>
      <c r="G103" s="241"/>
      <c r="H103" s="241" t="e">
        <f>H101+H43</f>
        <v>#REF!</v>
      </c>
      <c r="I103" s="241"/>
      <c r="J103" s="241" t="e">
        <f>J101+J43</f>
        <v>#REF!</v>
      </c>
      <c r="K103" s="232" t="e">
        <f>1-(J103/H103)</f>
        <v>#REF!</v>
      </c>
      <c r="L103" s="213"/>
      <c r="M103" s="213"/>
    </row>
    <row r="104" spans="1:13" s="171" customFormat="1" ht="15" customHeight="1" x14ac:dyDescent="0.25">
      <c r="A104" s="404" t="s">
        <v>1</v>
      </c>
      <c r="B104" s="404"/>
      <c r="C104" s="404"/>
      <c r="D104" s="404"/>
      <c r="E104" s="404"/>
      <c r="F104" s="404"/>
      <c r="G104" s="404"/>
      <c r="H104" s="404"/>
      <c r="I104" s="404"/>
      <c r="J104" s="404"/>
      <c r="K104" s="404"/>
      <c r="L104" s="404"/>
      <c r="M104" s="404"/>
    </row>
    <row r="105" spans="1:13" s="171" customFormat="1" ht="15" customHeight="1" outlineLevel="1" x14ac:dyDescent="0.25">
      <c r="A105" s="407" t="s">
        <v>269</v>
      </c>
      <c r="B105" s="407"/>
      <c r="C105" s="407"/>
      <c r="D105" s="407"/>
      <c r="E105" s="407"/>
      <c r="F105" s="198"/>
      <c r="G105" s="197"/>
      <c r="H105" s="197"/>
      <c r="I105" s="197"/>
      <c r="J105" s="197"/>
      <c r="K105" s="197"/>
      <c r="L105" s="197"/>
      <c r="M105" s="198"/>
    </row>
    <row r="106" spans="1:13" s="171" customFormat="1" ht="12.75" outlineLevel="2" x14ac:dyDescent="0.2">
      <c r="A106" s="183" t="s">
        <v>5</v>
      </c>
      <c r="B106" s="183"/>
      <c r="C106" s="183" t="s">
        <v>128</v>
      </c>
      <c r="D106" s="183" t="s">
        <v>106</v>
      </c>
      <c r="E106" s="184" t="s">
        <v>68</v>
      </c>
      <c r="F106" s="185" t="s">
        <v>69</v>
      </c>
      <c r="G106" s="183" t="s">
        <v>108</v>
      </c>
      <c r="H106" s="183" t="s">
        <v>109</v>
      </c>
      <c r="I106" s="183" t="s">
        <v>110</v>
      </c>
      <c r="J106" s="183" t="s">
        <v>111</v>
      </c>
      <c r="K106" s="183" t="s">
        <v>13</v>
      </c>
      <c r="L106" s="183" t="s">
        <v>194</v>
      </c>
      <c r="M106" s="183" t="s">
        <v>279</v>
      </c>
    </row>
    <row r="107" spans="1:13" s="171" customFormat="1" ht="15" customHeight="1" outlineLevel="2" x14ac:dyDescent="0.25">
      <c r="A107" s="406" t="s">
        <v>281</v>
      </c>
      <c r="B107" s="406"/>
      <c r="C107" s="406"/>
      <c r="D107" s="406"/>
      <c r="E107" s="406"/>
      <c r="F107" s="215"/>
      <c r="G107" s="218"/>
      <c r="H107" s="218"/>
      <c r="I107" s="218"/>
      <c r="J107" s="218"/>
      <c r="K107" s="218"/>
      <c r="L107" s="218"/>
      <c r="M107" s="215"/>
    </row>
    <row r="108" spans="1:13" s="171" customFormat="1" ht="12" customHeight="1" outlineLevel="2" x14ac:dyDescent="0.25">
      <c r="A108" s="171" t="s">
        <v>1</v>
      </c>
      <c r="B108" s="171" t="s">
        <v>269</v>
      </c>
      <c r="C108" s="186"/>
      <c r="E108" s="172" t="s">
        <v>193</v>
      </c>
      <c r="F108" s="173">
        <v>30</v>
      </c>
      <c r="G108" s="234">
        <f>I108/0.7</f>
        <v>10714.285714285716</v>
      </c>
      <c r="H108" s="234">
        <f>F108*G108</f>
        <v>321428.57142857148</v>
      </c>
      <c r="I108" s="234">
        <v>7500</v>
      </c>
      <c r="J108" s="234">
        <f>F108*I108</f>
        <v>225000</v>
      </c>
      <c r="K108" s="176">
        <f t="shared" ref="K108:K121" si="22">1-(J108/H108)</f>
        <v>0.30000000000000016</v>
      </c>
      <c r="L108" s="171" t="s">
        <v>195</v>
      </c>
    </row>
    <row r="109" spans="1:13" s="171" customFormat="1" ht="12.75" outlineLevel="2" x14ac:dyDescent="0.2">
      <c r="A109" s="171" t="s">
        <v>1</v>
      </c>
      <c r="B109" s="171" t="s">
        <v>269</v>
      </c>
      <c r="E109" s="172" t="s">
        <v>72</v>
      </c>
      <c r="F109" s="173">
        <v>30</v>
      </c>
      <c r="G109" s="234" t="e">
        <f>I109/0.7</f>
        <v>#REF!</v>
      </c>
      <c r="H109" s="234" t="e">
        <f>F109*G109</f>
        <v>#REF!</v>
      </c>
      <c r="I109" s="234" t="e">
        <f>#REF!</f>
        <v>#REF!</v>
      </c>
      <c r="J109" s="234" t="e">
        <f>F109*I109</f>
        <v>#REF!</v>
      </c>
      <c r="K109" s="176" t="e">
        <f t="shared" si="22"/>
        <v>#REF!</v>
      </c>
      <c r="L109" s="171" t="s">
        <v>196</v>
      </c>
    </row>
    <row r="110" spans="1:13" s="171" customFormat="1" ht="12.75" outlineLevel="2" x14ac:dyDescent="0.2">
      <c r="A110" s="191"/>
      <c r="B110" s="191"/>
      <c r="C110" s="191"/>
      <c r="D110" s="191"/>
      <c r="E110" s="187" t="s">
        <v>282</v>
      </c>
      <c r="F110" s="188"/>
      <c r="G110" s="236"/>
      <c r="H110" s="236" t="e">
        <f>SUM(H108:H109)</f>
        <v>#REF!</v>
      </c>
      <c r="I110" s="236"/>
      <c r="J110" s="236" t="e">
        <f>SUM(J108:J109)</f>
        <v>#REF!</v>
      </c>
      <c r="K110" s="190" t="e">
        <f t="shared" si="22"/>
        <v>#REF!</v>
      </c>
      <c r="L110" s="191"/>
      <c r="M110" s="191"/>
    </row>
    <row r="111" spans="1:13" s="171" customFormat="1" ht="15" customHeight="1" outlineLevel="2" x14ac:dyDescent="0.25">
      <c r="A111" s="406" t="s">
        <v>270</v>
      </c>
      <c r="B111" s="406"/>
      <c r="C111" s="406" t="s">
        <v>270</v>
      </c>
      <c r="D111" s="406"/>
      <c r="E111" s="406"/>
      <c r="F111" s="216"/>
      <c r="G111" s="242"/>
      <c r="H111" s="242"/>
      <c r="I111" s="242"/>
      <c r="J111" s="242"/>
      <c r="K111" s="219"/>
      <c r="L111" s="219"/>
      <c r="M111" s="216"/>
    </row>
    <row r="112" spans="1:13" s="171" customFormat="1" ht="12.75" outlineLevel="2" x14ac:dyDescent="0.2">
      <c r="A112" s="171" t="s">
        <v>1</v>
      </c>
      <c r="B112" s="171" t="s">
        <v>269</v>
      </c>
      <c r="C112" s="171" t="s">
        <v>138</v>
      </c>
      <c r="E112" s="172" t="s">
        <v>229</v>
      </c>
      <c r="F112" s="173" t="e">
        <f>D10*1.05</f>
        <v>#REF!</v>
      </c>
      <c r="G112" s="234">
        <v>81</v>
      </c>
      <c r="H112" s="234" t="e">
        <f>F112*G112*24</f>
        <v>#REF!</v>
      </c>
      <c r="I112" s="234">
        <v>52</v>
      </c>
      <c r="J112" s="234" t="e">
        <f>F112*I112*24</f>
        <v>#REF!</v>
      </c>
      <c r="K112" s="176" t="e">
        <f>1-(J112/H112)</f>
        <v>#REF!</v>
      </c>
      <c r="L112" s="171" t="s">
        <v>195</v>
      </c>
      <c r="M112" s="171" t="s">
        <v>144</v>
      </c>
    </row>
    <row r="113" spans="1:13" s="171" customFormat="1" ht="12.75" customHeight="1" outlineLevel="2" x14ac:dyDescent="0.2">
      <c r="A113" s="171" t="s">
        <v>1</v>
      </c>
      <c r="B113" s="171" t="s">
        <v>269</v>
      </c>
      <c r="C113" s="171" t="s">
        <v>138</v>
      </c>
      <c r="E113" s="172" t="s">
        <v>161</v>
      </c>
      <c r="F113" s="173">
        <v>50</v>
      </c>
      <c r="G113" s="234">
        <v>81</v>
      </c>
      <c r="H113" s="235">
        <f>F113*G113*7</f>
        <v>28350</v>
      </c>
      <c r="I113" s="235">
        <v>52</v>
      </c>
      <c r="J113" s="235">
        <f>F113*I113*7</f>
        <v>18200</v>
      </c>
      <c r="K113" s="176">
        <f>1-(J113/H113)</f>
        <v>0.35802469135802473</v>
      </c>
      <c r="L113" s="171" t="s">
        <v>195</v>
      </c>
      <c r="M113" s="171" t="s">
        <v>144</v>
      </c>
    </row>
    <row r="114" spans="1:13" s="171" customFormat="1" ht="13.5" outlineLevel="2" thickBot="1" x14ac:dyDescent="0.25">
      <c r="A114" s="196"/>
      <c r="B114" s="196"/>
      <c r="C114" s="196"/>
      <c r="D114" s="196"/>
      <c r="E114" s="192" t="s">
        <v>272</v>
      </c>
      <c r="F114" s="193"/>
      <c r="G114" s="238"/>
      <c r="H114" s="238" t="e">
        <f>SUM(H112:H113)</f>
        <v>#REF!</v>
      </c>
      <c r="I114" s="238"/>
      <c r="J114" s="238" t="e">
        <f>SUM(J112:J113)</f>
        <v>#REF!</v>
      </c>
      <c r="K114" s="195" t="e">
        <f>1-(J114/H114)</f>
        <v>#REF!</v>
      </c>
      <c r="L114" s="196"/>
      <c r="M114" s="196"/>
    </row>
    <row r="115" spans="1:13" s="207" customFormat="1" ht="15" customHeight="1" outlineLevel="1" thickTop="1" x14ac:dyDescent="0.2">
      <c r="A115" s="403" t="s">
        <v>288</v>
      </c>
      <c r="B115" s="403"/>
      <c r="C115" s="403"/>
      <c r="D115" s="403"/>
      <c r="E115" s="403" t="s">
        <v>275</v>
      </c>
      <c r="F115" s="206"/>
      <c r="G115" s="239"/>
      <c r="H115" s="239" t="e">
        <f>H114+H110</f>
        <v>#REF!</v>
      </c>
      <c r="I115" s="239"/>
      <c r="J115" s="239" t="e">
        <f>J114+J110</f>
        <v>#REF!</v>
      </c>
      <c r="K115" s="209" t="e">
        <f>1-(J115/H115)</f>
        <v>#REF!</v>
      </c>
    </row>
    <row r="116" spans="1:13" s="171" customFormat="1" ht="15" customHeight="1" outlineLevel="1" x14ac:dyDescent="0.25">
      <c r="A116" s="407" t="s">
        <v>287</v>
      </c>
      <c r="B116" s="407"/>
      <c r="C116" s="407"/>
      <c r="D116" s="407"/>
      <c r="E116" s="407"/>
      <c r="F116" s="198"/>
      <c r="G116" s="197"/>
      <c r="H116" s="197"/>
      <c r="I116" s="197"/>
      <c r="J116" s="197"/>
      <c r="K116" s="197"/>
      <c r="L116" s="197"/>
      <c r="M116" s="198"/>
    </row>
    <row r="117" spans="1:13" s="171" customFormat="1" ht="12.75" outlineLevel="2" x14ac:dyDescent="0.2">
      <c r="A117" s="183" t="s">
        <v>5</v>
      </c>
      <c r="B117" s="183"/>
      <c r="C117" s="183" t="s">
        <v>128</v>
      </c>
      <c r="D117" s="183" t="s">
        <v>106</v>
      </c>
      <c r="E117" s="184" t="s">
        <v>68</v>
      </c>
      <c r="F117" s="185" t="s">
        <v>69</v>
      </c>
      <c r="G117" s="183" t="s">
        <v>108</v>
      </c>
      <c r="H117" s="183" t="s">
        <v>109</v>
      </c>
      <c r="I117" s="183" t="s">
        <v>110</v>
      </c>
      <c r="J117" s="183" t="s">
        <v>111</v>
      </c>
      <c r="K117" s="183" t="s">
        <v>13</v>
      </c>
      <c r="L117" s="183" t="s">
        <v>194</v>
      </c>
      <c r="M117" s="183" t="s">
        <v>279</v>
      </c>
    </row>
    <row r="118" spans="1:13" s="171" customFormat="1" ht="15" customHeight="1" outlineLevel="2" x14ac:dyDescent="0.25">
      <c r="A118" s="406" t="s">
        <v>283</v>
      </c>
      <c r="B118" s="406"/>
      <c r="C118" s="406"/>
      <c r="D118" s="406"/>
      <c r="E118" s="406"/>
      <c r="F118" s="215"/>
      <c r="G118" s="218"/>
      <c r="H118" s="218"/>
      <c r="I118" s="218"/>
      <c r="J118" s="218"/>
      <c r="K118" s="218"/>
      <c r="L118" s="218"/>
      <c r="M118" s="215"/>
    </row>
    <row r="119" spans="1:13" s="171" customFormat="1" ht="12.75" outlineLevel="3" x14ac:dyDescent="0.2">
      <c r="A119" s="171" t="s">
        <v>1</v>
      </c>
      <c r="B119" s="171" t="s">
        <v>269</v>
      </c>
      <c r="E119" s="172" t="s">
        <v>88</v>
      </c>
      <c r="F119" s="173" t="e">
        <f>D7</f>
        <v>#REF!</v>
      </c>
      <c r="G119" s="234" t="e">
        <f>I119/0.75</f>
        <v>#REF!</v>
      </c>
      <c r="H119" s="234" t="e">
        <f>F119*G119*36</f>
        <v>#REF!</v>
      </c>
      <c r="I119" s="234" t="e">
        <f>#REF!/951</f>
        <v>#REF!</v>
      </c>
      <c r="J119" s="234" t="e">
        <f>F119*I119*36</f>
        <v>#REF!</v>
      </c>
      <c r="K119" s="176" t="e">
        <f t="shared" si="22"/>
        <v>#REF!</v>
      </c>
      <c r="L119" s="171" t="s">
        <v>195</v>
      </c>
    </row>
    <row r="120" spans="1:13" s="171" customFormat="1" ht="25.5" outlineLevel="3" x14ac:dyDescent="0.2">
      <c r="A120" s="171" t="s">
        <v>1</v>
      </c>
      <c r="B120" s="171" t="s">
        <v>269</v>
      </c>
      <c r="E120" s="172" t="s">
        <v>147</v>
      </c>
      <c r="F120" s="173" t="e">
        <f>D7</f>
        <v>#REF!</v>
      </c>
      <c r="G120" s="234">
        <f>I120/0.7</f>
        <v>4.2857142857142856</v>
      </c>
      <c r="H120" s="234" t="e">
        <f>F120*G120*24</f>
        <v>#REF!</v>
      </c>
      <c r="I120" s="234">
        <v>3</v>
      </c>
      <c r="J120" s="234" t="e">
        <f>F120*I120*24</f>
        <v>#REF!</v>
      </c>
      <c r="K120" s="176" t="e">
        <f>1-(J120/H120)</f>
        <v>#REF!</v>
      </c>
      <c r="L120" s="171" t="s">
        <v>195</v>
      </c>
    </row>
    <row r="121" spans="1:13" s="171" customFormat="1" ht="12" customHeight="1" outlineLevel="3" x14ac:dyDescent="0.2">
      <c r="A121" s="171" t="s">
        <v>1</v>
      </c>
      <c r="B121" s="171" t="s">
        <v>269</v>
      </c>
      <c r="E121" s="172" t="s">
        <v>227</v>
      </c>
      <c r="F121" s="173">
        <v>6</v>
      </c>
      <c r="G121" s="235">
        <f>I121/0.75</f>
        <v>266.66666666666669</v>
      </c>
      <c r="H121" s="235">
        <f>F121*G121*26</f>
        <v>41600</v>
      </c>
      <c r="I121" s="235">
        <v>200</v>
      </c>
      <c r="J121" s="235">
        <f>F121*I121*26</f>
        <v>31200</v>
      </c>
      <c r="K121" s="176">
        <f t="shared" si="22"/>
        <v>0.25</v>
      </c>
      <c r="L121" s="171" t="s">
        <v>195</v>
      </c>
    </row>
    <row r="122" spans="1:13" s="171" customFormat="1" ht="12.75" outlineLevel="2" x14ac:dyDescent="0.2">
      <c r="A122" s="191"/>
      <c r="B122" s="191"/>
      <c r="C122" s="191"/>
      <c r="D122" s="191"/>
      <c r="E122" s="187" t="s">
        <v>284</v>
      </c>
      <c r="F122" s="188"/>
      <c r="G122" s="236"/>
      <c r="H122" s="236" t="e">
        <f>SUM(H119:H121)</f>
        <v>#REF!</v>
      </c>
      <c r="I122" s="236"/>
      <c r="J122" s="236" t="e">
        <f>SUM(J119:J121)</f>
        <v>#REF!</v>
      </c>
      <c r="K122" s="190" t="e">
        <f>1-(J122/H122)</f>
        <v>#REF!</v>
      </c>
      <c r="L122" s="191"/>
      <c r="M122" s="191"/>
    </row>
    <row r="123" spans="1:13" s="171" customFormat="1" ht="15" customHeight="1" outlineLevel="2" x14ac:dyDescent="0.25">
      <c r="A123" s="406" t="s">
        <v>285</v>
      </c>
      <c r="B123" s="406"/>
      <c r="C123" s="406"/>
      <c r="D123" s="406"/>
      <c r="E123" s="406"/>
      <c r="F123" s="215"/>
      <c r="G123" s="243"/>
      <c r="H123" s="243"/>
      <c r="I123" s="243"/>
      <c r="J123" s="243"/>
      <c r="K123" s="218"/>
      <c r="L123" s="218"/>
      <c r="M123" s="215"/>
    </row>
    <row r="124" spans="1:13" s="171" customFormat="1" ht="12" customHeight="1" outlineLevel="3" x14ac:dyDescent="0.2">
      <c r="A124" s="171" t="s">
        <v>1</v>
      </c>
      <c r="B124" s="171" t="s">
        <v>269</v>
      </c>
      <c r="E124" s="172" t="s">
        <v>152</v>
      </c>
      <c r="F124" s="173" t="e">
        <f>ROUNDUP(30%*$D$7,0)</f>
        <v>#REF!</v>
      </c>
      <c r="G124" s="234" t="e">
        <f>I124/0.75</f>
        <v>#REF!</v>
      </c>
      <c r="H124" s="234" t="e">
        <f>F124*G124</f>
        <v>#REF!</v>
      </c>
      <c r="I124" s="234" t="e">
        <f>#REF!*2</f>
        <v>#REF!</v>
      </c>
      <c r="J124" s="234" t="e">
        <f>F124*I124</f>
        <v>#REF!</v>
      </c>
      <c r="K124" s="176" t="e">
        <f>1-(J124/H124)</f>
        <v>#REF!</v>
      </c>
      <c r="L124" s="171" t="s">
        <v>196</v>
      </c>
    </row>
    <row r="125" spans="1:13" s="171" customFormat="1" ht="12.75" outlineLevel="2" x14ac:dyDescent="0.2">
      <c r="A125" s="191"/>
      <c r="B125" s="191"/>
      <c r="C125" s="191"/>
      <c r="D125" s="191"/>
      <c r="E125" s="187" t="s">
        <v>286</v>
      </c>
      <c r="F125" s="188"/>
      <c r="G125" s="236"/>
      <c r="H125" s="236" t="e">
        <f>SUM(H124)</f>
        <v>#REF!</v>
      </c>
      <c r="I125" s="236"/>
      <c r="J125" s="236" t="e">
        <f>SUM(J124)</f>
        <v>#REF!</v>
      </c>
      <c r="K125" s="190" t="e">
        <f>1-(J125/H125)</f>
        <v>#REF!</v>
      </c>
      <c r="L125" s="191"/>
      <c r="M125" s="191"/>
    </row>
    <row r="126" spans="1:13" s="171" customFormat="1" ht="15" customHeight="1" outlineLevel="2" x14ac:dyDescent="0.25">
      <c r="A126" s="406" t="s">
        <v>271</v>
      </c>
      <c r="B126" s="406"/>
      <c r="C126" s="406" t="s">
        <v>271</v>
      </c>
      <c r="D126" s="406"/>
      <c r="E126" s="406"/>
      <c r="F126" s="216"/>
      <c r="G126" s="242"/>
      <c r="H126" s="242"/>
      <c r="I126" s="242"/>
      <c r="J126" s="242"/>
      <c r="K126" s="219"/>
      <c r="L126" s="219"/>
      <c r="M126" s="216"/>
    </row>
    <row r="127" spans="1:13" s="171" customFormat="1" ht="12.75" outlineLevel="3" x14ac:dyDescent="0.2">
      <c r="A127" s="171" t="s">
        <v>1</v>
      </c>
      <c r="B127" s="171" t="s">
        <v>269</v>
      </c>
      <c r="C127" s="171" t="s">
        <v>141</v>
      </c>
      <c r="E127" s="172" t="s">
        <v>228</v>
      </c>
      <c r="F127" s="173" t="e">
        <f>D11</f>
        <v>#REF!</v>
      </c>
      <c r="G127" s="234">
        <f>I127/0.75</f>
        <v>166.66666666666666</v>
      </c>
      <c r="H127" s="234" t="e">
        <f>F127*G127*24</f>
        <v>#REF!</v>
      </c>
      <c r="I127" s="234">
        <v>125</v>
      </c>
      <c r="J127" s="234" t="e">
        <f>F127*I127*24</f>
        <v>#REF!</v>
      </c>
      <c r="K127" s="176" t="e">
        <f>1-(J127/H127)</f>
        <v>#REF!</v>
      </c>
      <c r="L127" s="171" t="s">
        <v>195</v>
      </c>
      <c r="M127" s="171" t="s">
        <v>144</v>
      </c>
    </row>
    <row r="128" spans="1:13" s="171" customFormat="1" ht="12.75" outlineLevel="2" x14ac:dyDescent="0.2">
      <c r="A128" s="191"/>
      <c r="B128" s="191"/>
      <c r="C128" s="191"/>
      <c r="D128" s="191"/>
      <c r="E128" s="187" t="s">
        <v>273</v>
      </c>
      <c r="F128" s="227"/>
      <c r="G128" s="236"/>
      <c r="H128" s="236" t="e">
        <f>SUM(H127)</f>
        <v>#REF!</v>
      </c>
      <c r="I128" s="236"/>
      <c r="J128" s="236" t="e">
        <f>SUM(J127)</f>
        <v>#REF!</v>
      </c>
      <c r="K128" s="190" t="e">
        <f>1-(J128/H128)</f>
        <v>#REF!</v>
      </c>
      <c r="L128" s="191"/>
      <c r="M128" s="191"/>
    </row>
    <row r="129" spans="1:13" s="171" customFormat="1" ht="15" customHeight="1" outlineLevel="2" x14ac:dyDescent="0.25">
      <c r="A129" s="406" t="s">
        <v>8</v>
      </c>
      <c r="B129" s="406"/>
      <c r="C129" s="406" t="s">
        <v>8</v>
      </c>
      <c r="D129" s="406"/>
      <c r="E129" s="406"/>
      <c r="F129" s="216"/>
      <c r="G129" s="244"/>
      <c r="H129" s="244"/>
      <c r="I129" s="244"/>
      <c r="J129" s="244"/>
      <c r="K129" s="219"/>
      <c r="L129" s="219"/>
      <c r="M129" s="216"/>
    </row>
    <row r="130" spans="1:13" s="171" customFormat="1" ht="12.75" outlineLevel="3" x14ac:dyDescent="0.2">
      <c r="A130" s="171" t="s">
        <v>1</v>
      </c>
      <c r="B130" s="171" t="s">
        <v>269</v>
      </c>
      <c r="E130" s="172" t="s">
        <v>15</v>
      </c>
      <c r="F130" s="173" t="e">
        <f>ROUNDUP(D19*$D$7,0)</f>
        <v>#REF!</v>
      </c>
      <c r="G130" s="234">
        <f>I130/0.75</f>
        <v>173.68421052631581</v>
      </c>
      <c r="H130" s="234">
        <v>0</v>
      </c>
      <c r="I130" s="234">
        <f>10%*D20</f>
        <v>130.26315789473685</v>
      </c>
      <c r="J130" s="234" t="e">
        <f>F130*I130*24</f>
        <v>#REF!</v>
      </c>
      <c r="K130" s="176" t="e">
        <f>1-(J130/H130)</f>
        <v>#REF!</v>
      </c>
      <c r="L130" s="171" t="s">
        <v>196</v>
      </c>
    </row>
    <row r="131" spans="1:13" s="171" customFormat="1" ht="12.75" outlineLevel="3" x14ac:dyDescent="0.2">
      <c r="A131" s="171" t="s">
        <v>1</v>
      </c>
      <c r="B131" s="171" t="s">
        <v>269</v>
      </c>
      <c r="E131" s="172" t="s">
        <v>225</v>
      </c>
      <c r="F131" s="173">
        <v>1</v>
      </c>
      <c r="G131" s="235">
        <v>0</v>
      </c>
      <c r="H131" s="235">
        <v>0</v>
      </c>
      <c r="I131" s="235">
        <v>100000</v>
      </c>
      <c r="J131" s="235">
        <f>F131*I131</f>
        <v>100000</v>
      </c>
      <c r="K131" s="176" t="e">
        <f>1-(J131/H131)</f>
        <v>#DIV/0!</v>
      </c>
    </row>
    <row r="132" spans="1:13" s="171" customFormat="1" ht="13.5" outlineLevel="2" thickBot="1" x14ac:dyDescent="0.25">
      <c r="A132" s="196"/>
      <c r="B132" s="196"/>
      <c r="C132" s="196"/>
      <c r="D132" s="196"/>
      <c r="E132" s="192" t="s">
        <v>274</v>
      </c>
      <c r="F132" s="228"/>
      <c r="G132" s="238"/>
      <c r="H132" s="238">
        <f>SUM(H130:H131)</f>
        <v>0</v>
      </c>
      <c r="I132" s="238"/>
      <c r="J132" s="238" t="e">
        <f>SUM(J130:J131)</f>
        <v>#REF!</v>
      </c>
      <c r="K132" s="195" t="e">
        <f>1-(J132/H132)</f>
        <v>#REF!</v>
      </c>
      <c r="L132" s="196"/>
      <c r="M132" s="196"/>
    </row>
    <row r="133" spans="1:13" s="207" customFormat="1" ht="15" customHeight="1" outlineLevel="1" thickTop="1" x14ac:dyDescent="0.2">
      <c r="A133" s="403" t="s">
        <v>289</v>
      </c>
      <c r="B133" s="403"/>
      <c r="C133" s="403"/>
      <c r="D133" s="403"/>
      <c r="E133" s="403" t="s">
        <v>275</v>
      </c>
      <c r="F133" s="206"/>
      <c r="G133" s="239"/>
      <c r="H133" s="239" t="e">
        <f>H132+H128+H125+H122</f>
        <v>#REF!</v>
      </c>
      <c r="I133" s="239"/>
      <c r="J133" s="239" t="e">
        <f>J132+J128+J125+J122</f>
        <v>#REF!</v>
      </c>
      <c r="K133" s="209" t="e">
        <f>1-(J133/H133)</f>
        <v>#REF!</v>
      </c>
    </row>
    <row r="134" spans="1:13" s="207" customFormat="1" ht="5.25" customHeight="1" outlineLevel="1" x14ac:dyDescent="0.2">
      <c r="A134" s="210"/>
      <c r="B134" s="210"/>
      <c r="C134" s="210"/>
      <c r="D134" s="210"/>
      <c r="E134" s="210"/>
      <c r="F134" s="206"/>
      <c r="G134" s="239"/>
      <c r="H134" s="239"/>
      <c r="I134" s="239"/>
      <c r="J134" s="239"/>
      <c r="K134" s="209"/>
    </row>
    <row r="135" spans="1:13" s="171" customFormat="1" ht="15.75" x14ac:dyDescent="0.25">
      <c r="A135" s="404" t="s">
        <v>290</v>
      </c>
      <c r="B135" s="404"/>
      <c r="C135" s="404"/>
      <c r="D135" s="404"/>
      <c r="E135" s="404"/>
      <c r="F135" s="229"/>
      <c r="G135" s="245"/>
      <c r="H135" s="245" t="e">
        <f>H133+H115</f>
        <v>#REF!</v>
      </c>
      <c r="I135" s="245"/>
      <c r="J135" s="245" t="e">
        <f>J133+J115</f>
        <v>#REF!</v>
      </c>
      <c r="K135" s="230" t="e">
        <f>1-(J135/H135)</f>
        <v>#REF!</v>
      </c>
      <c r="L135" s="214"/>
      <c r="M135" s="214"/>
    </row>
    <row r="136" spans="1:13" s="171" customFormat="1" ht="15" customHeight="1" x14ac:dyDescent="0.25">
      <c r="A136" s="402" t="s">
        <v>277</v>
      </c>
      <c r="B136" s="402"/>
      <c r="C136" s="402"/>
      <c r="D136" s="402"/>
      <c r="E136" s="402"/>
      <c r="F136" s="250"/>
      <c r="G136" s="251"/>
      <c r="H136" s="251" t="e">
        <f>H133+H103</f>
        <v>#REF!</v>
      </c>
      <c r="I136" s="251"/>
      <c r="J136" s="251" t="e">
        <f>J133+J103</f>
        <v>#REF!</v>
      </c>
      <c r="K136" s="252" t="e">
        <f>1-(J136/H136)</f>
        <v>#REF!</v>
      </c>
      <c r="L136" s="253"/>
      <c r="M136" s="253"/>
    </row>
    <row r="137" spans="1:13" s="171" customFormat="1" ht="15" customHeight="1" x14ac:dyDescent="0.25">
      <c r="A137" s="405" t="s">
        <v>143</v>
      </c>
      <c r="B137" s="405"/>
      <c r="C137" s="405"/>
      <c r="D137" s="405"/>
      <c r="E137" s="405"/>
      <c r="F137" s="254">
        <v>0</v>
      </c>
      <c r="G137" s="255"/>
      <c r="H137" s="255" t="e">
        <f>H136*-F137</f>
        <v>#REF!</v>
      </c>
      <c r="I137" s="255"/>
      <c r="J137" s="255"/>
      <c r="K137" s="256"/>
      <c r="L137" s="257"/>
      <c r="M137" s="257"/>
    </row>
    <row r="138" spans="1:13" s="183" customFormat="1" ht="15" customHeight="1" x14ac:dyDescent="0.25">
      <c r="A138" s="402" t="s">
        <v>276</v>
      </c>
      <c r="B138" s="402"/>
      <c r="C138" s="402"/>
      <c r="D138" s="402"/>
      <c r="E138" s="402"/>
      <c r="F138" s="250"/>
      <c r="G138" s="251"/>
      <c r="H138" s="251" t="e">
        <f>H136+H137</f>
        <v>#REF!</v>
      </c>
      <c r="I138" s="251"/>
      <c r="J138" s="251" t="e">
        <f>J136</f>
        <v>#REF!</v>
      </c>
      <c r="K138" s="252" t="e">
        <f>1-(J138/H138)</f>
        <v>#REF!</v>
      </c>
      <c r="L138" s="253"/>
      <c r="M138" s="253"/>
    </row>
    <row r="139" spans="1:13" s="171" customFormat="1" ht="3" customHeight="1" x14ac:dyDescent="0.2">
      <c r="A139" s="249"/>
      <c r="B139" s="249"/>
      <c r="C139" s="249"/>
      <c r="D139" s="249"/>
      <c r="E139" s="258"/>
      <c r="F139" s="246"/>
      <c r="G139" s="247"/>
      <c r="H139" s="247"/>
      <c r="I139" s="247"/>
      <c r="J139" s="247"/>
      <c r="K139" s="248"/>
      <c r="L139" s="249"/>
      <c r="M139" s="249"/>
    </row>
    <row r="140" spans="1:13" s="171" customFormat="1" ht="15" customHeight="1" x14ac:dyDescent="0.25">
      <c r="A140" s="402" t="s">
        <v>278</v>
      </c>
      <c r="B140" s="402"/>
      <c r="C140" s="402"/>
      <c r="D140" s="402"/>
      <c r="E140" s="402"/>
      <c r="F140" s="250"/>
      <c r="G140" s="251"/>
      <c r="H140" s="251" t="e">
        <f>H138/D7/D18</f>
        <v>#REF!</v>
      </c>
      <c r="I140" s="251"/>
      <c r="J140" s="251" t="e">
        <f>J138/D7/D18</f>
        <v>#REF!</v>
      </c>
      <c r="K140" s="252" t="e">
        <f>1-(J140/H140)</f>
        <v>#REF!</v>
      </c>
      <c r="L140" s="253"/>
      <c r="M140" s="253"/>
    </row>
    <row r="141" spans="1:13" s="179" customFormat="1" ht="15" x14ac:dyDescent="0.25">
      <c r="E141" s="180"/>
      <c r="F141" s="181"/>
      <c r="G141" s="186"/>
      <c r="H141" s="186"/>
      <c r="I141" s="186"/>
      <c r="J141" s="186"/>
      <c r="K141" s="220"/>
      <c r="L141" s="182"/>
    </row>
    <row r="142" spans="1:13" s="179" customFormat="1" ht="15" x14ac:dyDescent="0.25">
      <c r="E142" s="180"/>
      <c r="F142" s="181"/>
      <c r="G142" s="186"/>
      <c r="H142" s="186"/>
      <c r="I142" s="186"/>
      <c r="J142" s="186"/>
      <c r="K142" s="220"/>
      <c r="L142" s="182"/>
    </row>
    <row r="143" spans="1:13" s="179" customFormat="1" ht="15" x14ac:dyDescent="0.25">
      <c r="E143" s="180"/>
      <c r="F143" s="181"/>
      <c r="G143" s="186"/>
      <c r="H143" s="186"/>
      <c r="I143" s="186"/>
      <c r="J143" s="186"/>
      <c r="K143" s="220"/>
      <c r="L143" s="182"/>
    </row>
    <row r="144" spans="1:13" s="179" customFormat="1" ht="15" x14ac:dyDescent="0.25">
      <c r="E144" s="180"/>
      <c r="F144" s="181"/>
      <c r="G144" s="186"/>
      <c r="H144" s="186"/>
      <c r="I144" s="186"/>
      <c r="J144" s="186"/>
      <c r="K144" s="220"/>
      <c r="L144" s="182"/>
    </row>
    <row r="145" spans="5:18" s="179" customFormat="1" ht="15" x14ac:dyDescent="0.25">
      <c r="E145" s="180"/>
      <c r="F145" s="181"/>
      <c r="G145" s="186"/>
      <c r="H145" s="186"/>
      <c r="I145" s="186"/>
      <c r="J145" s="186"/>
      <c r="K145" s="220"/>
      <c r="L145" s="182"/>
    </row>
    <row r="146" spans="5:18" s="179" customFormat="1" ht="15" x14ac:dyDescent="0.25">
      <c r="E146" s="180"/>
      <c r="F146" s="181"/>
      <c r="G146" s="186"/>
      <c r="H146" s="186"/>
      <c r="I146" s="186"/>
      <c r="J146" s="186"/>
      <c r="K146" s="220"/>
      <c r="L146" s="182"/>
    </row>
    <row r="147" spans="5:18" ht="15" x14ac:dyDescent="0.25">
      <c r="F147" s="101"/>
      <c r="G147" s="116"/>
      <c r="H147" s="116"/>
      <c r="I147" s="116"/>
      <c r="J147" s="116"/>
      <c r="K147" s="221"/>
      <c r="M147" s="4"/>
    </row>
    <row r="148" spans="5:18" ht="15" x14ac:dyDescent="0.25">
      <c r="F148" s="101"/>
      <c r="G148" s="116"/>
      <c r="H148" s="116"/>
      <c r="I148" s="116"/>
      <c r="J148" s="116"/>
      <c r="K148" s="221"/>
      <c r="M148" s="4"/>
    </row>
    <row r="149" spans="5:18" ht="15" x14ac:dyDescent="0.25">
      <c r="F149" s="101"/>
      <c r="G149" s="116"/>
      <c r="H149" s="116"/>
      <c r="I149" s="116"/>
      <c r="J149" s="116"/>
      <c r="K149" s="221"/>
      <c r="M149" s="4"/>
    </row>
    <row r="150" spans="5:18" ht="15" x14ac:dyDescent="0.25">
      <c r="F150" s="101"/>
      <c r="G150" s="116"/>
      <c r="H150" s="116"/>
      <c r="I150" s="116"/>
      <c r="J150" s="116"/>
      <c r="K150" s="221"/>
      <c r="M150" s="4"/>
    </row>
    <row r="151" spans="5:18" ht="15" x14ac:dyDescent="0.25">
      <c r="F151" s="101"/>
      <c r="G151" s="116"/>
      <c r="H151" s="116"/>
      <c r="I151" s="116"/>
      <c r="J151" s="116"/>
      <c r="K151" s="221"/>
      <c r="M151" s="4"/>
    </row>
    <row r="152" spans="5:18" ht="15.75" thickBot="1" x14ac:dyDescent="0.3">
      <c r="F152" s="101"/>
      <c r="G152" s="116"/>
      <c r="H152" s="116"/>
      <c r="I152" s="116"/>
      <c r="J152" s="116"/>
      <c r="K152" s="221"/>
      <c r="M152" s="4"/>
    </row>
    <row r="153" spans="5:18" ht="15.75" thickBot="1" x14ac:dyDescent="0.3">
      <c r="E153" s="92" t="s">
        <v>170</v>
      </c>
      <c r="F153" s="103"/>
      <c r="G153" s="222"/>
      <c r="H153" s="223" t="e">
        <f>#REF!/D7/D18</f>
        <v>#REF!</v>
      </c>
      <c r="I153" s="222"/>
      <c r="J153" s="223" t="e">
        <f>#REF!/D7/D18</f>
        <v>#REF!</v>
      </c>
      <c r="K153" s="224" t="e">
        <f>1-(J153/H153)</f>
        <v>#REF!</v>
      </c>
      <c r="M153" s="4"/>
      <c r="N153" s="118" t="s">
        <v>19</v>
      </c>
      <c r="O153" s="118" t="s">
        <v>4</v>
      </c>
      <c r="P153" s="118" t="s">
        <v>197</v>
      </c>
      <c r="Q153" s="118" t="s">
        <v>4</v>
      </c>
    </row>
    <row r="154" spans="5:18" ht="15" customHeight="1" thickBot="1" x14ac:dyDescent="0.3">
      <c r="E154"/>
      <c r="F154" s="101"/>
      <c r="G154" s="116"/>
      <c r="H154" s="116"/>
      <c r="I154" s="116"/>
      <c r="J154" s="116"/>
      <c r="K154" s="116"/>
      <c r="L154" s="116"/>
      <c r="N154" s="119" t="s">
        <v>195</v>
      </c>
      <c r="O154" s="120" t="e">
        <f>O155+O157+O158+O156</f>
        <v>#REF!</v>
      </c>
      <c r="P154" s="120" t="e">
        <f>P155+P157+P158+P156</f>
        <v>#REF!</v>
      </c>
      <c r="Q154" s="121" t="e">
        <f>1-(O154/P154)</f>
        <v>#REF!</v>
      </c>
      <c r="R154" s="164" t="e">
        <f>P154/P163</f>
        <v>#REF!</v>
      </c>
    </row>
    <row r="155" spans="5:18" ht="12.75" customHeight="1" thickTop="1" x14ac:dyDescent="0.2">
      <c r="N155" s="122" t="s">
        <v>198</v>
      </c>
      <c r="O155" s="123" t="e">
        <f>SUMIFS(J23:J132,A23:A132,"CAPEX",L23:L132,"HNS",M23:M132,"VSAT")</f>
        <v>#REF!</v>
      </c>
      <c r="P155" s="123" t="e">
        <f>SUMIFS(H23:H132,A23:A132,"CAPEX",L23:L132,"HNS",M23:M132,"VSAT")-(SUMIFS(H23:H132,A23:A132,"CAPEX",L23:L132,"HNS",M23:M132,"VSAT"))*#REF!</f>
        <v>#REF!</v>
      </c>
      <c r="Q155" s="124" t="e">
        <f>1-(O155/P155)</f>
        <v>#REF!</v>
      </c>
      <c r="R155" s="164"/>
    </row>
    <row r="156" spans="5:18" ht="12" customHeight="1" x14ac:dyDescent="0.2">
      <c r="N156" s="122" t="s">
        <v>199</v>
      </c>
      <c r="O156" s="123" t="e">
        <f>SUMIFS(J23:J132,A23:A132,"CAPEX",L23:L132,"HNS",M23:M132,"GW-INFRA")</f>
        <v>#REF!</v>
      </c>
      <c r="P156" s="123" t="e">
        <f>SUMIFS(H23:H132,A23:A132,"CAPEX",L23:L132,"HNS",M23:M132,"GW-INFRA")-(SUMIFS(H23:H132,A23:A132,"CAPEX",L23:L132,"HNS",M23:M132,"GW-INFRA"))*#REF!</f>
        <v>#REF!</v>
      </c>
      <c r="Q156" s="124" t="e">
        <f>1-(O156/P156)</f>
        <v>#REF!</v>
      </c>
      <c r="R156" s="164"/>
    </row>
    <row r="157" spans="5:18" ht="12" customHeight="1" x14ac:dyDescent="0.2">
      <c r="N157" s="122" t="s">
        <v>200</v>
      </c>
      <c r="O157" s="123" t="e">
        <f>SUMIFS(J23:J132,A23:A132,"OPEX",L23:L132,"HNS",M23:M132,"")</f>
        <v>#REF!</v>
      </c>
      <c r="P157" s="123" t="e">
        <f>SUMIFS(H23:H132,A23:A132,"OPEX",L23:L132,"HNS",M23:M132,"")-(SUMIFS(H23:H132,A23:A132,"OPEX",L23:L132,"HNS",M23:M132,""))*#REF!</f>
        <v>#REF!</v>
      </c>
      <c r="Q157" s="124" t="e">
        <f t="shared" ref="Q157:Q161" si="23">1-(O157/P157)</f>
        <v>#REF!</v>
      </c>
      <c r="R157" s="164"/>
    </row>
    <row r="158" spans="5:18" ht="12" customHeight="1" x14ac:dyDescent="0.2">
      <c r="N158" s="122" t="s">
        <v>205</v>
      </c>
      <c r="O158" s="123" t="e">
        <f>SUMIFS(J23:J132,A23:A132,"OPEX",L23:L132,"HNS",M23:M132,"T19V")</f>
        <v>#REF!</v>
      </c>
      <c r="P158" s="123" t="e">
        <f>SUMIFS(H23:H132,A23:A132,"OPEX",L23:L132,"HNS",M23:M132,"T19V")-(SUMIFS(H23:H132,A23:A132,"OPEX",L23:L132,"HNS",M23:M132,"T19V"))*#REF!</f>
        <v>#REF!</v>
      </c>
      <c r="Q158" s="124" t="e">
        <f t="shared" si="23"/>
        <v>#REF!</v>
      </c>
      <c r="R158" s="164"/>
    </row>
    <row r="159" spans="5:18" ht="12.75" customHeight="1" thickBot="1" x14ac:dyDescent="0.25">
      <c r="N159" s="125" t="s">
        <v>196</v>
      </c>
      <c r="O159" s="126" t="e">
        <f>O160+O161+O162</f>
        <v>#REF!</v>
      </c>
      <c r="P159" s="126" t="e">
        <f>P160+P161+P162</f>
        <v>#REF!</v>
      </c>
      <c r="Q159" s="127" t="e">
        <f t="shared" si="23"/>
        <v>#REF!</v>
      </c>
      <c r="R159" s="165" t="e">
        <f>P159/P163</f>
        <v>#REF!</v>
      </c>
    </row>
    <row r="160" spans="5:18" ht="12.75" customHeight="1" thickTop="1" x14ac:dyDescent="0.2">
      <c r="N160" s="128" t="s">
        <v>201</v>
      </c>
      <c r="O160" s="129" t="e">
        <f>SUMIFS(J23:J132,A23:A132,"CAPEX",L23:L132,"HDP",M23:M132,"")</f>
        <v>#REF!</v>
      </c>
      <c r="P160" s="129" t="e">
        <f>SUMIFS(H23:H132,A23:A132,"CAPEX",L23:L132,"HDP",M23:M132,"")-(SUMIFS(H23:H132,A23:A132,"CAPEX",L23:L132,"HDP",M23:M132,""))*#REF!</f>
        <v>#REF!</v>
      </c>
      <c r="Q160" s="130" t="e">
        <f t="shared" si="23"/>
        <v>#REF!</v>
      </c>
      <c r="R160" s="165"/>
    </row>
    <row r="161" spans="3:18" ht="12" customHeight="1" x14ac:dyDescent="0.2">
      <c r="N161" s="128" t="s">
        <v>202</v>
      </c>
      <c r="O161" s="129" t="e">
        <f>SUMIFS(J23:J132,A23:A132,"OPEX",L23:L132,"HDP",M23:M132,"")</f>
        <v>#REF!</v>
      </c>
      <c r="P161" s="129" t="e">
        <f>SUMIFS(H23:H132,A23:A132,"OPEX",L23:L132,"HDP",M23:M132,"")-(SUMIFS(H23:H132,A23:A132,"OPEX",L23:L132,"HDP",M23:M132,""))*#REF!</f>
        <v>#REF!</v>
      </c>
      <c r="Q161" s="130" t="e">
        <f t="shared" si="23"/>
        <v>#REF!</v>
      </c>
      <c r="R161" s="165"/>
    </row>
    <row r="162" spans="3:18" ht="12" customHeight="1" x14ac:dyDescent="0.2">
      <c r="N162" s="128"/>
      <c r="O162" s="129">
        <f>SUMIFS(J23:J132,A23:A132,"OPEX",L23:L132,"HDP",M23:M132,"SES-17")</f>
        <v>0</v>
      </c>
      <c r="P162" s="129" t="e">
        <f>SUMIFS(H42:H132,A42:A132,"OPEX",L42:L132,"HDP",P42:P132,"SES-17")-(SUMIFS(H42:H132,A42:A132,"OPEX",L42:L132,"HDP",P42:P132,"SES-17"))*#REF!</f>
        <v>#REF!</v>
      </c>
      <c r="Q162" s="130"/>
      <c r="R162" s="165"/>
    </row>
    <row r="163" spans="3:18" ht="18.75" customHeight="1" x14ac:dyDescent="0.3">
      <c r="E163" s="166" t="s">
        <v>76</v>
      </c>
      <c r="F163" s="166"/>
      <c r="G163" s="151" t="s">
        <v>74</v>
      </c>
      <c r="H163" s="151" t="s">
        <v>73</v>
      </c>
      <c r="I163" s="151" t="s">
        <v>3</v>
      </c>
      <c r="J163" s="153" t="s">
        <v>77</v>
      </c>
      <c r="K163" s="151" t="s">
        <v>78</v>
      </c>
      <c r="L163" s="153" t="s">
        <v>79</v>
      </c>
      <c r="N163" s="131"/>
      <c r="O163" s="132" t="e">
        <f>O154+O159</f>
        <v>#REF!</v>
      </c>
      <c r="P163" s="132" t="e">
        <f>P154+P159</f>
        <v>#REF!</v>
      </c>
      <c r="Q163" s="133" t="e">
        <f>1-(O163/P163)</f>
        <v>#REF!</v>
      </c>
    </row>
    <row r="164" spans="3:18" ht="26.85" customHeight="1" x14ac:dyDescent="0.2">
      <c r="E164" s="167"/>
      <c r="F164" s="167"/>
      <c r="G164" s="152"/>
      <c r="H164" s="152"/>
      <c r="I164" s="152"/>
      <c r="J164" s="154"/>
      <c r="K164" s="152"/>
      <c r="L164" s="154"/>
    </row>
    <row r="165" spans="3:18" ht="21" x14ac:dyDescent="0.25">
      <c r="E165" s="42"/>
      <c r="F165" s="42"/>
      <c r="G165" s="42"/>
      <c r="H165" s="42"/>
      <c r="I165" s="42"/>
      <c r="J165" s="225"/>
      <c r="K165" s="225"/>
      <c r="L165" s="225"/>
    </row>
    <row r="166" spans="3:18" ht="23.25" x14ac:dyDescent="0.35">
      <c r="E166" s="163" t="s">
        <v>80</v>
      </c>
      <c r="F166" s="163"/>
      <c r="G166" s="155"/>
      <c r="H166" s="155"/>
      <c r="I166" s="155"/>
      <c r="J166" s="225"/>
      <c r="K166" s="225"/>
      <c r="L166" s="225"/>
      <c r="O166" s="77" t="e">
        <f>#REF!-O163</f>
        <v>#REF!</v>
      </c>
    </row>
    <row r="167" spans="3:18" ht="12" customHeight="1" x14ac:dyDescent="0.2">
      <c r="E167" s="162" t="s">
        <v>166</v>
      </c>
      <c r="F167" s="162"/>
      <c r="G167" s="141" t="e">
        <f>#REF!+#REF!-(#REF!+#REF!)*#REF!</f>
        <v>#REF!</v>
      </c>
      <c r="H167" s="141" t="e">
        <f>#REF!+#REF!</f>
        <v>#REF!</v>
      </c>
      <c r="I167" s="143" t="e">
        <f>1-(H167/G167)</f>
        <v>#REF!</v>
      </c>
      <c r="J167" s="143" t="e">
        <f>H167/$H$186</f>
        <v>#REF!</v>
      </c>
      <c r="K167" s="139" t="e">
        <f>H167/$D$7/$D$18</f>
        <v>#REF!</v>
      </c>
      <c r="L167" s="139" t="e">
        <f>G167/$D$7/$D$18</f>
        <v>#REF!</v>
      </c>
    </row>
    <row r="168" spans="3:18" ht="12" customHeight="1" x14ac:dyDescent="0.2">
      <c r="E168" s="162"/>
      <c r="F168" s="162"/>
      <c r="G168" s="142"/>
      <c r="H168" s="142"/>
      <c r="I168" s="144"/>
      <c r="J168" s="144"/>
      <c r="K168" s="140"/>
      <c r="L168" s="140"/>
    </row>
    <row r="169" spans="3:18" ht="12" customHeight="1" x14ac:dyDescent="0.2">
      <c r="C169" s="157" t="s">
        <v>231</v>
      </c>
      <c r="E169" s="161" t="s">
        <v>81</v>
      </c>
      <c r="F169" s="161"/>
      <c r="G169" s="141" t="e">
        <f>#REF!-#REF!*#REF!</f>
        <v>#REF!</v>
      </c>
      <c r="H169" s="141" t="e">
        <f>#REF!</f>
        <v>#REF!</v>
      </c>
      <c r="I169" s="143" t="e">
        <f>1-(H169/G169)</f>
        <v>#REF!</v>
      </c>
      <c r="J169" s="143" t="e">
        <f>H169/$H$186</f>
        <v>#REF!</v>
      </c>
      <c r="K169" s="139" t="e">
        <f>H169/$D$7/$D$18</f>
        <v>#REF!</v>
      </c>
      <c r="L169" s="139" t="e">
        <f>G169/$D$7/$D$18</f>
        <v>#REF!</v>
      </c>
      <c r="N169" s="4" t="s">
        <v>230</v>
      </c>
    </row>
    <row r="170" spans="3:18" ht="12" customHeight="1" x14ac:dyDescent="0.2">
      <c r="C170" s="157" t="s">
        <v>232</v>
      </c>
      <c r="E170" s="161"/>
      <c r="F170" s="161"/>
      <c r="G170" s="142"/>
      <c r="H170" s="142"/>
      <c r="I170" s="144"/>
      <c r="J170" s="144"/>
      <c r="K170" s="140"/>
      <c r="L170" s="140"/>
    </row>
    <row r="171" spans="3:18" ht="12" customHeight="1" x14ac:dyDescent="0.2">
      <c r="C171" s="157" t="s">
        <v>233</v>
      </c>
      <c r="E171" s="161" t="s">
        <v>162</v>
      </c>
      <c r="F171" s="161"/>
      <c r="G171" s="141" t="e">
        <f>#REF!+#REF!-(#REF!+#REF!)*#REF!</f>
        <v>#REF!</v>
      </c>
      <c r="H171" s="141" t="e">
        <f>#REF!+#REF!</f>
        <v>#REF!</v>
      </c>
      <c r="I171" s="143" t="e">
        <f>1-(H171/G171)</f>
        <v>#REF!</v>
      </c>
      <c r="J171" s="143" t="e">
        <f>H171/$H$186</f>
        <v>#REF!</v>
      </c>
      <c r="K171" s="139" t="e">
        <f>H171/$D$7/$D$18</f>
        <v>#REF!</v>
      </c>
      <c r="L171" s="139" t="e">
        <f>G171/$D$7/$D$18</f>
        <v>#REF!</v>
      </c>
    </row>
    <row r="172" spans="3:18" ht="12" customHeight="1" x14ac:dyDescent="0.2">
      <c r="C172" s="157" t="s">
        <v>234</v>
      </c>
      <c r="E172" s="161"/>
      <c r="F172" s="161"/>
      <c r="G172" s="142"/>
      <c r="H172" s="142"/>
      <c r="I172" s="144"/>
      <c r="J172" s="144"/>
      <c r="K172" s="140"/>
      <c r="L172" s="140"/>
    </row>
    <row r="173" spans="3:18" ht="12" customHeight="1" x14ac:dyDescent="0.2">
      <c r="C173" s="157" t="s">
        <v>235</v>
      </c>
      <c r="E173" s="158" t="s">
        <v>163</v>
      </c>
      <c r="F173" s="158"/>
      <c r="G173" s="147" t="e">
        <f>SUM(G167:G172)</f>
        <v>#REF!</v>
      </c>
      <c r="H173" s="147" t="e">
        <f>SUM(H167:H172)</f>
        <v>#REF!</v>
      </c>
      <c r="I173" s="149" t="e">
        <f>1-(H173/G173)</f>
        <v>#REF!</v>
      </c>
      <c r="J173" s="149" t="e">
        <f>H173/$H$186</f>
        <v>#REF!</v>
      </c>
      <c r="K173" s="145" t="e">
        <f>H173/$D$7/$D$18</f>
        <v>#REF!</v>
      </c>
      <c r="L173" s="145" t="e">
        <f>G173/$D$7/$D$18</f>
        <v>#REF!</v>
      </c>
    </row>
    <row r="174" spans="3:18" ht="12" customHeight="1" x14ac:dyDescent="0.2">
      <c r="C174" s="157" t="s">
        <v>236</v>
      </c>
      <c r="E174" s="158"/>
      <c r="F174" s="158"/>
      <c r="G174" s="148"/>
      <c r="H174" s="148"/>
      <c r="I174" s="150"/>
      <c r="J174" s="150"/>
      <c r="K174" s="146"/>
      <c r="L174" s="146"/>
    </row>
    <row r="175" spans="3:18" x14ac:dyDescent="0.2">
      <c r="C175" s="157" t="s">
        <v>237</v>
      </c>
      <c r="E175" s="4"/>
      <c r="F175" s="4"/>
    </row>
    <row r="176" spans="3:18" x14ac:dyDescent="0.2">
      <c r="C176" s="157" t="s">
        <v>238</v>
      </c>
      <c r="E176" s="4"/>
      <c r="F176" s="4"/>
    </row>
    <row r="177" spans="3:12" ht="12" customHeight="1" x14ac:dyDescent="0.2">
      <c r="C177" s="157" t="s">
        <v>239</v>
      </c>
      <c r="E177" s="162" t="s">
        <v>84</v>
      </c>
      <c r="F177" s="162"/>
      <c r="G177" s="141" t="e">
        <f>#REF!+#REF!+#REF!+#REF!+#REF!+#REF!-(#REF!+#REF!+#REF!+#REF!+#REF!+#REF!)*#REF!</f>
        <v>#REF!</v>
      </c>
      <c r="H177" s="141" t="e">
        <f>#REF!+#REF!+#REF!+#REF!+#REF!+#REF!</f>
        <v>#REF!</v>
      </c>
      <c r="I177" s="143" t="e">
        <f>1-(H177/G177)</f>
        <v>#REF!</v>
      </c>
      <c r="J177" s="143" t="e">
        <f>H177/$H$186</f>
        <v>#REF!</v>
      </c>
      <c r="K177" s="139" t="e">
        <f>H177/$D$7/$D$18</f>
        <v>#REF!</v>
      </c>
      <c r="L177" s="139" t="e">
        <f>G177/$D$7/$D$18</f>
        <v>#REF!</v>
      </c>
    </row>
    <row r="178" spans="3:12" ht="12" customHeight="1" x14ac:dyDescent="0.2">
      <c r="C178" s="157" t="s">
        <v>240</v>
      </c>
      <c r="E178" s="162"/>
      <c r="F178" s="162"/>
      <c r="G178" s="142"/>
      <c r="H178" s="142"/>
      <c r="I178" s="144"/>
      <c r="J178" s="144"/>
      <c r="K178" s="140"/>
      <c r="L178" s="140"/>
    </row>
    <row r="179" spans="3:12" ht="12" customHeight="1" x14ac:dyDescent="0.2">
      <c r="C179" s="157" t="s">
        <v>240</v>
      </c>
      <c r="E179" s="161" t="s">
        <v>243</v>
      </c>
      <c r="F179" s="161"/>
      <c r="G179" s="141" t="e">
        <f>#REF!+#REF!-(#REF!+#REF!)*#REF!</f>
        <v>#REF!</v>
      </c>
      <c r="H179" s="141" t="e">
        <f>#REF!+#REF!</f>
        <v>#REF!</v>
      </c>
      <c r="I179" s="143" t="e">
        <f>1-(H179/G179)</f>
        <v>#REF!</v>
      </c>
      <c r="J179" s="143" t="e">
        <f>H179/$H$186</f>
        <v>#REF!</v>
      </c>
      <c r="K179" s="139" t="e">
        <f>H179/$D$7/$D$18</f>
        <v>#REF!</v>
      </c>
      <c r="L179" s="139" t="e">
        <f>G179/$D$7/$D$18</f>
        <v>#REF!</v>
      </c>
    </row>
    <row r="180" spans="3:12" ht="12" customHeight="1" x14ac:dyDescent="0.2">
      <c r="C180" s="157" t="s">
        <v>241</v>
      </c>
      <c r="E180" s="161"/>
      <c r="F180" s="161"/>
      <c r="G180" s="142"/>
      <c r="H180" s="142"/>
      <c r="I180" s="144"/>
      <c r="J180" s="144"/>
      <c r="K180" s="140"/>
      <c r="L180" s="140"/>
    </row>
    <row r="181" spans="3:12" ht="12" customHeight="1" x14ac:dyDescent="0.2">
      <c r="C181" s="157" t="s">
        <v>242</v>
      </c>
      <c r="E181" s="160" t="s">
        <v>164</v>
      </c>
      <c r="F181" s="160"/>
      <c r="G181" s="141" t="e">
        <f>#REF!-#REF!*#REF!</f>
        <v>#REF!</v>
      </c>
      <c r="H181" s="141" t="e">
        <f>#REF!</f>
        <v>#REF!</v>
      </c>
      <c r="I181" s="143" t="e">
        <f>1-(H181/G181)</f>
        <v>#REF!</v>
      </c>
      <c r="J181" s="143" t="e">
        <f>H181/$H$186</f>
        <v>#REF!</v>
      </c>
      <c r="K181" s="139" t="e">
        <f>H181/$D$7/$D$18</f>
        <v>#REF!</v>
      </c>
      <c r="L181" s="139" t="e">
        <f>G181/$D$7/$D$18</f>
        <v>#REF!</v>
      </c>
    </row>
    <row r="182" spans="3:12" ht="12" customHeight="1" x14ac:dyDescent="0.2">
      <c r="C182" s="157"/>
      <c r="E182" s="160"/>
      <c r="F182" s="160"/>
      <c r="G182" s="142"/>
      <c r="H182" s="142"/>
      <c r="I182" s="144"/>
      <c r="J182" s="144"/>
      <c r="K182" s="140"/>
      <c r="L182" s="140"/>
    </row>
    <row r="183" spans="3:12" ht="12" customHeight="1" x14ac:dyDescent="0.2">
      <c r="C183" s="157" t="s">
        <v>244</v>
      </c>
      <c r="E183" s="158" t="s">
        <v>163</v>
      </c>
      <c r="F183" s="158"/>
      <c r="G183" s="147" t="e">
        <f>SUM(G177:G182)</f>
        <v>#REF!</v>
      </c>
      <c r="H183" s="147" t="e">
        <f>SUM(H177:H182)</f>
        <v>#REF!</v>
      </c>
      <c r="I183" s="149" t="e">
        <f>1-(H183/G183)</f>
        <v>#REF!</v>
      </c>
      <c r="J183" s="149" t="e">
        <f>H183/$H$186</f>
        <v>#REF!</v>
      </c>
      <c r="K183" s="145" t="e">
        <f>H183/$D$7/$D$18</f>
        <v>#REF!</v>
      </c>
      <c r="L183" s="145" t="e">
        <f>G183/$D$7/$D$18</f>
        <v>#REF!</v>
      </c>
    </row>
    <row r="184" spans="3:12" ht="12" customHeight="1" x14ac:dyDescent="0.2">
      <c r="C184" s="157" t="s">
        <v>245</v>
      </c>
      <c r="E184" s="158"/>
      <c r="F184" s="158"/>
      <c r="G184" s="148"/>
      <c r="H184" s="148"/>
      <c r="I184" s="150"/>
      <c r="J184" s="150"/>
      <c r="K184" s="146"/>
      <c r="L184" s="146"/>
    </row>
    <row r="185" spans="3:12" ht="15" x14ac:dyDescent="0.25">
      <c r="C185" s="157" t="s">
        <v>246</v>
      </c>
      <c r="E185"/>
      <c r="F185"/>
      <c r="G185" s="116"/>
      <c r="H185" s="116"/>
      <c r="I185" s="116"/>
      <c r="J185" s="116"/>
      <c r="K185" s="116"/>
      <c r="L185" s="116"/>
    </row>
    <row r="186" spans="3:12" ht="21" x14ac:dyDescent="0.35">
      <c r="C186" s="157" t="s">
        <v>247</v>
      </c>
      <c r="E186" s="159" t="s">
        <v>167</v>
      </c>
      <c r="F186" s="159"/>
      <c r="G186" s="147" t="e">
        <f>G173+G183</f>
        <v>#REF!</v>
      </c>
      <c r="H186" s="147" t="e">
        <f>H173+H183</f>
        <v>#REF!</v>
      </c>
      <c r="I186" s="45" t="e">
        <f>1-(H186/G186)</f>
        <v>#REF!</v>
      </c>
      <c r="J186" s="45" t="e">
        <f>J173+J183</f>
        <v>#REF!</v>
      </c>
      <c r="K186" s="46" t="e">
        <f>K173+K183</f>
        <v>#REF!</v>
      </c>
      <c r="L186" s="46" t="e">
        <f>L173+L183</f>
        <v>#REF!</v>
      </c>
    </row>
    <row r="187" spans="3:12" ht="15" customHeight="1" x14ac:dyDescent="0.25">
      <c r="C187" s="157" t="s">
        <v>75</v>
      </c>
      <c r="E187" s="158" t="s">
        <v>82</v>
      </c>
      <c r="F187" s="158"/>
      <c r="G187" s="137" t="e">
        <f>#REF!+F112</f>
        <v>#REF!</v>
      </c>
      <c r="H187" s="137" t="s">
        <v>71</v>
      </c>
      <c r="I187" s="116"/>
      <c r="J187" s="116"/>
      <c r="K187" s="116"/>
      <c r="L187" s="116"/>
    </row>
    <row r="188" spans="3:12" ht="15" customHeight="1" x14ac:dyDescent="0.25">
      <c r="C188" s="157"/>
      <c r="E188" s="158"/>
      <c r="F188" s="158"/>
      <c r="G188" s="138"/>
      <c r="H188" s="138"/>
      <c r="I188" s="116"/>
      <c r="J188" s="116"/>
      <c r="K188" s="116"/>
      <c r="L188" s="116"/>
    </row>
    <row r="189" spans="3:12" ht="15" customHeight="1" x14ac:dyDescent="0.25">
      <c r="C189" s="157" t="s">
        <v>248</v>
      </c>
      <c r="E189" s="158" t="s">
        <v>83</v>
      </c>
      <c r="F189" s="158"/>
      <c r="G189" s="137" t="e">
        <f>D7</f>
        <v>#REF!</v>
      </c>
      <c r="H189" s="137" t="s">
        <v>2</v>
      </c>
      <c r="I189" s="116"/>
      <c r="J189" s="116"/>
      <c r="K189" s="116"/>
      <c r="L189" s="226"/>
    </row>
    <row r="190" spans="3:12" ht="15" customHeight="1" x14ac:dyDescent="0.25">
      <c r="C190" s="135" t="s">
        <v>249</v>
      </c>
      <c r="E190" s="158"/>
      <c r="F190" s="158"/>
      <c r="G190" s="138"/>
      <c r="H190" s="138"/>
      <c r="I190" s="116"/>
      <c r="J190" s="116"/>
      <c r="K190" s="116"/>
      <c r="L190" s="116"/>
    </row>
    <row r="191" spans="3:12" ht="15" customHeight="1" x14ac:dyDescent="0.25">
      <c r="E191" s="158" t="s">
        <v>85</v>
      </c>
      <c r="F191" s="158"/>
      <c r="G191" s="137">
        <f>D18</f>
        <v>24</v>
      </c>
      <c r="H191" s="137" t="s">
        <v>165</v>
      </c>
      <c r="I191" s="116"/>
      <c r="J191" s="116"/>
      <c r="K191" s="116"/>
      <c r="L191" s="116"/>
    </row>
    <row r="192" spans="3:12" ht="12" customHeight="1" x14ac:dyDescent="0.2">
      <c r="E192" s="158"/>
      <c r="F192" s="158"/>
      <c r="G192" s="138"/>
      <c r="H192" s="138"/>
      <c r="I192" s="3"/>
      <c r="J192" s="3"/>
      <c r="K192" s="3"/>
      <c r="L192" s="3"/>
    </row>
  </sheetData>
  <dataConsolidate/>
  <mergeCells count="33">
    <mergeCell ref="A22:M22"/>
    <mergeCell ref="A25:E25"/>
    <mergeCell ref="A23:E23"/>
    <mergeCell ref="A34:E34"/>
    <mergeCell ref="A44:E44"/>
    <mergeCell ref="A78:E78"/>
    <mergeCell ref="A86:E86"/>
    <mergeCell ref="A94:E94"/>
    <mergeCell ref="A43:E43"/>
    <mergeCell ref="A101:E101"/>
    <mergeCell ref="A46:E46"/>
    <mergeCell ref="A50:E50"/>
    <mergeCell ref="A54:E54"/>
    <mergeCell ref="A58:E58"/>
    <mergeCell ref="A61:E61"/>
    <mergeCell ref="A69:E69"/>
    <mergeCell ref="A111:E111"/>
    <mergeCell ref="A126:E126"/>
    <mergeCell ref="A116:E116"/>
    <mergeCell ref="A129:E129"/>
    <mergeCell ref="A103:E103"/>
    <mergeCell ref="A104:M104"/>
    <mergeCell ref="A105:E105"/>
    <mergeCell ref="A107:E107"/>
    <mergeCell ref="A118:E118"/>
    <mergeCell ref="A140:E140"/>
    <mergeCell ref="A133:E133"/>
    <mergeCell ref="A115:E115"/>
    <mergeCell ref="A135:E135"/>
    <mergeCell ref="A136:E136"/>
    <mergeCell ref="A138:E138"/>
    <mergeCell ref="A137:E137"/>
    <mergeCell ref="A123:E1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E313-7910-48B5-A8CD-4C9375A2AF42}">
  <sheetPr>
    <tabColor rgb="FF92D050"/>
  </sheetPr>
  <dimension ref="A1:BD35"/>
  <sheetViews>
    <sheetView tabSelected="1" zoomScale="115" zoomScaleNormal="115" workbookViewId="0">
      <pane ySplit="1" topLeftCell="A9" activePane="bottomLeft" state="frozen"/>
      <selection activeCell="A15" sqref="A15"/>
      <selection pane="bottomLeft" activeCell="A26" sqref="A26:J26"/>
    </sheetView>
  </sheetViews>
  <sheetFormatPr baseColWidth="10" defaultColWidth="11.5703125" defaultRowHeight="12" x14ac:dyDescent="0.2"/>
  <cols>
    <col min="1" max="1" width="8.7109375" style="4" customWidth="1"/>
    <col min="2" max="2" width="14.7109375" style="4" customWidth="1"/>
    <col min="3" max="3" width="15.42578125" style="4" customWidth="1"/>
    <col min="4" max="4" width="23.28515625" style="4" customWidth="1"/>
    <col min="5" max="5" width="31.28515625" style="4" customWidth="1"/>
    <col min="6" max="6" width="45" style="274" customWidth="1"/>
    <col min="7" max="8" width="17" style="3" customWidth="1"/>
    <col min="9" max="10" width="11.7109375" style="3" customWidth="1"/>
    <col min="11" max="11" width="12.28515625" style="3" customWidth="1"/>
    <col min="12" max="12" width="16.28515625" style="3" customWidth="1"/>
    <col min="13" max="13" width="15.85546875" style="3" customWidth="1"/>
    <col min="14" max="14" width="11.85546875" style="48" customWidth="1"/>
    <col min="15" max="15" width="14.140625" style="48" customWidth="1"/>
    <col min="16" max="16" width="14.85546875" style="48" customWidth="1"/>
    <col min="17" max="17" width="10.140625" style="48" customWidth="1"/>
    <col min="18" max="18" width="21.7109375" style="48" customWidth="1"/>
    <col min="19" max="19" width="21.140625" style="48" customWidth="1"/>
    <col min="20" max="20" width="22.85546875" style="48" customWidth="1"/>
    <col min="21" max="21" width="22.28515625" style="48" customWidth="1"/>
    <col min="22" max="22" width="16.42578125" style="48" customWidth="1"/>
    <col min="23" max="23" width="28.5703125" style="48" customWidth="1"/>
    <col min="24" max="24" width="9.42578125" style="48" customWidth="1"/>
    <col min="25" max="25" width="17.85546875" style="4" customWidth="1"/>
    <col min="26" max="27" width="15.85546875" style="4" customWidth="1"/>
    <col min="28" max="28" width="11.5703125" style="4" customWidth="1"/>
    <col min="29" max="51" width="11.5703125" style="4"/>
    <col min="52" max="52" width="7.28515625" style="4" customWidth="1"/>
    <col min="53" max="53" width="11.42578125" style="4" customWidth="1"/>
    <col min="54" max="54" width="4.85546875" style="4" customWidth="1"/>
    <col min="55" max="55" width="14.28515625" style="4" customWidth="1"/>
    <col min="56" max="56" width="20.7109375" style="4" customWidth="1"/>
    <col min="57" max="57" width="24.7109375" style="4" customWidth="1"/>
    <col min="58" max="16384" width="11.5703125" style="4"/>
  </cols>
  <sheetData>
    <row r="1" spans="1:56" ht="15" x14ac:dyDescent="0.25">
      <c r="A1" s="416" t="s">
        <v>90</v>
      </c>
      <c r="B1" s="416"/>
      <c r="C1" s="169"/>
      <c r="D1" s="3"/>
      <c r="E1" s="116"/>
      <c r="I1" s="334"/>
      <c r="J1" s="48"/>
      <c r="K1" s="48"/>
      <c r="L1" s="48"/>
      <c r="M1" s="13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56" ht="15" x14ac:dyDescent="0.25">
      <c r="A2" s="412" t="s">
        <v>336</v>
      </c>
      <c r="B2" s="412"/>
      <c r="C2" s="51" t="s">
        <v>648</v>
      </c>
      <c r="D2" s="3"/>
      <c r="E2" s="116"/>
      <c r="F2" s="335"/>
      <c r="G2" s="106"/>
      <c r="H2" s="106"/>
      <c r="I2" s="334"/>
      <c r="J2" s="48"/>
      <c r="K2" s="48"/>
      <c r="L2" s="48"/>
      <c r="M2" s="13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56" ht="15" x14ac:dyDescent="0.25">
      <c r="A3" s="269"/>
      <c r="B3" s="270" t="s">
        <v>614</v>
      </c>
      <c r="C3" s="51" t="s">
        <v>648</v>
      </c>
      <c r="D3" s="3"/>
      <c r="E3" s="116"/>
      <c r="F3" s="335"/>
      <c r="G3" s="106"/>
      <c r="H3" s="106"/>
      <c r="I3" s="334"/>
      <c r="J3" s="48"/>
      <c r="K3" s="48"/>
      <c r="L3" s="48"/>
      <c r="M3" s="13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56" ht="15" x14ac:dyDescent="0.25">
      <c r="A4" s="269"/>
      <c r="B4" s="270" t="s">
        <v>338</v>
      </c>
      <c r="C4" s="51" t="s">
        <v>648</v>
      </c>
      <c r="D4" s="3"/>
      <c r="E4" s="116"/>
      <c r="F4" s="271" t="s">
        <v>74</v>
      </c>
      <c r="G4" s="109" t="s">
        <v>73</v>
      </c>
      <c r="H4" s="109" t="s">
        <v>145</v>
      </c>
      <c r="I4" s="334"/>
      <c r="J4" s="48"/>
      <c r="K4" s="48"/>
      <c r="L4" s="48"/>
      <c r="M4" s="13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56" ht="15" x14ac:dyDescent="0.25">
      <c r="A5" s="412" t="s">
        <v>91</v>
      </c>
      <c r="B5" s="413"/>
      <c r="C5" s="51">
        <v>1</v>
      </c>
      <c r="D5" s="3"/>
      <c r="E5" s="217" t="s">
        <v>0</v>
      </c>
      <c r="F5" s="272">
        <f>SUMIF(A24:A25,"CAPEX",M24:M25)</f>
        <v>0</v>
      </c>
      <c r="G5" s="110">
        <f>SUMIF(A24:A25,"CAPEX",O24:O25)</f>
        <v>0</v>
      </c>
      <c r="H5" s="111" t="e">
        <f>1-(G5/F5)</f>
        <v>#DIV/0!</v>
      </c>
      <c r="I5" s="336"/>
      <c r="J5" s="396"/>
      <c r="K5" s="48"/>
      <c r="L5" s="48"/>
      <c r="M5" s="13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AZ5" s="4" t="s">
        <v>320</v>
      </c>
      <c r="BA5" s="4" t="s">
        <v>316</v>
      </c>
      <c r="BB5" s="4" t="s">
        <v>5</v>
      </c>
      <c r="BC5" s="4" t="s">
        <v>294</v>
      </c>
      <c r="BD5" s="4" t="s">
        <v>295</v>
      </c>
    </row>
    <row r="6" spans="1:56" ht="15" x14ac:dyDescent="0.25">
      <c r="A6" s="412" t="s">
        <v>92</v>
      </c>
      <c r="B6" s="413"/>
      <c r="C6" s="52">
        <v>0</v>
      </c>
      <c r="D6" s="3"/>
      <c r="E6" s="217" t="s">
        <v>1</v>
      </c>
      <c r="F6" s="272">
        <f>SUMIF(A24:A25,"OPEX",M24:M25)</f>
        <v>0</v>
      </c>
      <c r="G6" s="110">
        <f>SUMIF(A24:A25,"OPEX",O24:O25)</f>
        <v>0</v>
      </c>
      <c r="H6" s="111" t="e">
        <f>1-(G6/F6)</f>
        <v>#DIV/0!</v>
      </c>
      <c r="I6" s="336"/>
      <c r="J6" s="396"/>
      <c r="K6" s="48"/>
      <c r="L6" s="41"/>
      <c r="M6" s="13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AZ6" s="4" t="s">
        <v>329</v>
      </c>
      <c r="BA6" s="4" t="s">
        <v>321</v>
      </c>
      <c r="BB6" s="4" t="s">
        <v>0</v>
      </c>
      <c r="BC6" s="4" t="s">
        <v>250</v>
      </c>
      <c r="BD6" s="4" t="s">
        <v>203</v>
      </c>
    </row>
    <row r="7" spans="1:56" ht="15" x14ac:dyDescent="0.25">
      <c r="A7" s="412" t="s">
        <v>93</v>
      </c>
      <c r="B7" s="413"/>
      <c r="C7" s="53">
        <v>1111</v>
      </c>
      <c r="D7" s="3"/>
      <c r="E7" s="116"/>
      <c r="F7" s="273">
        <f>SUM(F5:F6)</f>
        <v>0</v>
      </c>
      <c r="G7" s="112">
        <f>SUM(G5:G6)</f>
        <v>0</v>
      </c>
      <c r="H7" s="113" t="e">
        <f>1-(G7/F7)</f>
        <v>#DIV/0!</v>
      </c>
      <c r="I7" s="337"/>
      <c r="J7" s="48"/>
      <c r="K7" s="48"/>
      <c r="L7" s="48"/>
      <c r="M7" s="13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AZ7" s="4" t="s">
        <v>328</v>
      </c>
      <c r="BA7" s="4" t="s">
        <v>322</v>
      </c>
      <c r="BB7" s="4" t="s">
        <v>1</v>
      </c>
      <c r="BC7" s="4" t="s">
        <v>269</v>
      </c>
      <c r="BD7" s="4" t="s">
        <v>162</v>
      </c>
    </row>
    <row r="8" spans="1:56" x14ac:dyDescent="0.2">
      <c r="A8" s="412" t="s">
        <v>98</v>
      </c>
      <c r="B8" s="413"/>
      <c r="C8" s="57">
        <v>0</v>
      </c>
      <c r="D8" s="3"/>
      <c r="E8" s="48"/>
      <c r="F8" s="64"/>
      <c r="G8" s="48"/>
      <c r="H8" s="48"/>
      <c r="I8" s="48"/>
      <c r="J8" s="48"/>
      <c r="K8" s="48"/>
      <c r="L8" s="48"/>
      <c r="M8" s="13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BA8" s="4" t="s">
        <v>323</v>
      </c>
      <c r="BC8" s="4" t="s">
        <v>312</v>
      </c>
      <c r="BD8" s="4" t="s">
        <v>313</v>
      </c>
    </row>
    <row r="9" spans="1:56" x14ac:dyDescent="0.2">
      <c r="A9" s="412" t="s">
        <v>99</v>
      </c>
      <c r="B9" s="413"/>
      <c r="C9" s="53">
        <v>0</v>
      </c>
      <c r="D9" s="3"/>
      <c r="E9" s="48"/>
      <c r="F9" s="338"/>
      <c r="G9" s="48"/>
      <c r="H9" s="48"/>
      <c r="I9" s="48"/>
      <c r="J9" s="48"/>
      <c r="K9" s="48"/>
      <c r="L9" s="48"/>
      <c r="M9" s="13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BA9" s="4" t="s">
        <v>71</v>
      </c>
      <c r="BC9" s="4" t="s">
        <v>293</v>
      </c>
      <c r="BD9" s="4" t="s">
        <v>314</v>
      </c>
    </row>
    <row r="10" spans="1:56" x14ac:dyDescent="0.2">
      <c r="A10" s="412" t="s">
        <v>613</v>
      </c>
      <c r="B10" s="413"/>
      <c r="C10" s="358" t="s">
        <v>648</v>
      </c>
      <c r="D10" s="3"/>
      <c r="E10" s="48"/>
      <c r="F10" s="394"/>
      <c r="G10" s="48"/>
      <c r="H10" s="48"/>
      <c r="I10" s="48"/>
      <c r="J10" s="48"/>
      <c r="K10" s="48"/>
      <c r="L10" s="48"/>
      <c r="M10" s="13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BA10" s="4" t="s">
        <v>317</v>
      </c>
      <c r="BD10" s="4" t="s">
        <v>315</v>
      </c>
    </row>
    <row r="11" spans="1:56" x14ac:dyDescent="0.2">
      <c r="A11" s="412" t="s">
        <v>100</v>
      </c>
      <c r="B11" s="413"/>
      <c r="C11" s="51">
        <v>0</v>
      </c>
      <c r="D11" s="3"/>
      <c r="E11" s="48"/>
      <c r="F11" s="338"/>
      <c r="G11" s="48"/>
      <c r="H11" s="48"/>
      <c r="I11" s="48"/>
      <c r="J11" s="48"/>
      <c r="K11" s="48"/>
      <c r="L11" s="48"/>
      <c r="M11" s="4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BA11" s="4" t="s">
        <v>319</v>
      </c>
    </row>
    <row r="12" spans="1:56" x14ac:dyDescent="0.2">
      <c r="A12" s="269"/>
      <c r="B12" s="270" t="s">
        <v>643</v>
      </c>
      <c r="C12" s="392">
        <v>0</v>
      </c>
      <c r="D12" s="3"/>
      <c r="E12" s="48"/>
      <c r="F12" s="338"/>
      <c r="G12" s="48"/>
      <c r="H12" s="48"/>
      <c r="I12" s="48"/>
      <c r="J12" s="48"/>
      <c r="K12" s="48"/>
      <c r="L12" s="48"/>
      <c r="M12" s="4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56" ht="15" x14ac:dyDescent="0.2">
      <c r="A13" s="412" t="s">
        <v>101</v>
      </c>
      <c r="B13" s="413"/>
      <c r="C13" s="51">
        <v>12323</v>
      </c>
      <c r="D13" s="3"/>
      <c r="E13" s="48"/>
      <c r="F13" s="271" t="s">
        <v>158</v>
      </c>
      <c r="G13" s="109" t="s">
        <v>159</v>
      </c>
      <c r="H13" s="109" t="s">
        <v>145</v>
      </c>
      <c r="I13" s="334"/>
      <c r="J13" s="48"/>
      <c r="K13" s="48"/>
      <c r="L13" s="48"/>
      <c r="M13" s="4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BA13" s="4" t="s">
        <v>318</v>
      </c>
    </row>
    <row r="14" spans="1:56" ht="15" x14ac:dyDescent="0.2">
      <c r="A14" s="412" t="s">
        <v>95</v>
      </c>
      <c r="B14" s="413"/>
      <c r="C14" s="56">
        <v>0</v>
      </c>
      <c r="D14" s="3"/>
      <c r="E14" s="48"/>
      <c r="F14" s="272">
        <f>F7/C7/C19</f>
        <v>0</v>
      </c>
      <c r="G14" s="110">
        <f>G7/C7/C19</f>
        <v>0</v>
      </c>
      <c r="H14" s="111" t="e">
        <f>1-(G14/F14)</f>
        <v>#DIV/0!</v>
      </c>
      <c r="I14" s="336"/>
      <c r="J14" s="48"/>
      <c r="K14" s="396"/>
      <c r="L14" s="396"/>
      <c r="M14" s="4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56" x14ac:dyDescent="0.2">
      <c r="A15" s="269"/>
      <c r="B15" s="269" t="e" vm="1">
        <v>#VALUE!</v>
      </c>
      <c r="C15" s="359">
        <v>0</v>
      </c>
      <c r="D15" s="3"/>
      <c r="E15" s="48"/>
      <c r="F15" s="64"/>
      <c r="G15" s="48"/>
      <c r="H15" s="48"/>
      <c r="I15" s="48"/>
      <c r="J15" s="48"/>
      <c r="K15" s="48"/>
      <c r="L15" s="48"/>
      <c r="M15" s="48"/>
      <c r="P15" s="4"/>
      <c r="Q15" s="4"/>
      <c r="R15" s="4"/>
      <c r="S15" s="4"/>
      <c r="T15" s="4"/>
      <c r="U15" s="4"/>
      <c r="V15" s="4"/>
      <c r="W15" s="4"/>
      <c r="X15" s="4"/>
    </row>
    <row r="16" spans="1:56" x14ac:dyDescent="0.2">
      <c r="A16" s="412" t="s">
        <v>645</v>
      </c>
      <c r="B16" s="413"/>
      <c r="C16" s="56">
        <v>0</v>
      </c>
      <c r="D16" s="3"/>
      <c r="E16" s="48"/>
      <c r="F16" s="64"/>
      <c r="G16" s="48"/>
      <c r="H16" s="48"/>
      <c r="I16" s="48"/>
      <c r="J16" s="48"/>
      <c r="K16" s="48"/>
      <c r="L16" s="48"/>
      <c r="M16" s="48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">
      <c r="A17" s="412" t="s">
        <v>102</v>
      </c>
      <c r="B17" s="413"/>
      <c r="C17" s="51">
        <v>0</v>
      </c>
      <c r="D17" s="3"/>
      <c r="E17" s="48"/>
      <c r="F17" s="397"/>
      <c r="G17" s="48"/>
      <c r="H17" s="48"/>
      <c r="I17" s="48"/>
      <c r="J17" s="48"/>
      <c r="K17" s="48"/>
      <c r="L17" s="48"/>
      <c r="M17" s="48"/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">
      <c r="A18" s="412" t="s">
        <v>97</v>
      </c>
      <c r="B18" s="413"/>
      <c r="C18" s="51">
        <v>0</v>
      </c>
      <c r="D18" s="3"/>
      <c r="E18" s="48"/>
      <c r="F18" s="64"/>
      <c r="G18" s="48"/>
      <c r="H18" s="48"/>
      <c r="I18" s="48"/>
      <c r="J18" s="48"/>
      <c r="K18" s="48"/>
      <c r="L18" s="48"/>
      <c r="M18" s="48"/>
      <c r="P18" s="4"/>
      <c r="Q18" s="4"/>
      <c r="R18" s="4"/>
      <c r="S18" s="4"/>
      <c r="T18" s="4"/>
      <c r="U18" s="4"/>
      <c r="V18" s="4"/>
      <c r="W18" s="4"/>
      <c r="X18" s="4"/>
    </row>
    <row r="19" spans="1:24" x14ac:dyDescent="0.2">
      <c r="A19" s="412" t="s">
        <v>104</v>
      </c>
      <c r="B19" s="413"/>
      <c r="C19" s="51">
        <v>11</v>
      </c>
      <c r="D19" s="3"/>
      <c r="E19" s="48"/>
      <c r="F19" s="64"/>
      <c r="G19" s="48"/>
      <c r="H19" s="48"/>
      <c r="I19" s="48"/>
      <c r="J19" s="48"/>
      <c r="K19" s="48"/>
      <c r="L19" s="48"/>
      <c r="M19" s="48"/>
      <c r="P19" s="4"/>
      <c r="Q19" s="4"/>
      <c r="R19" s="4"/>
      <c r="S19" s="4"/>
      <c r="T19" s="4"/>
      <c r="U19" s="4"/>
      <c r="V19" s="4"/>
      <c r="W19" s="4"/>
      <c r="X19" s="4"/>
    </row>
    <row r="20" spans="1:24" x14ac:dyDescent="0.2">
      <c r="A20" s="412" t="s">
        <v>16</v>
      </c>
      <c r="B20" s="413"/>
      <c r="C20" s="57">
        <v>0</v>
      </c>
      <c r="D20" s="3" t="s">
        <v>646</v>
      </c>
      <c r="E20" s="48"/>
      <c r="F20" s="64"/>
      <c r="G20" s="48"/>
      <c r="H20" s="48"/>
      <c r="I20" s="48"/>
      <c r="J20" s="48"/>
      <c r="K20" s="48"/>
      <c r="L20" s="48"/>
      <c r="M20" s="48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">
      <c r="A21" s="412" t="s">
        <v>325</v>
      </c>
      <c r="B21" s="413"/>
      <c r="C21" s="57">
        <v>12</v>
      </c>
      <c r="D21" s="3"/>
      <c r="E21" s="48"/>
      <c r="F21" s="64"/>
      <c r="G21" s="48"/>
      <c r="H21" s="48"/>
      <c r="I21" s="48"/>
      <c r="J21" s="48"/>
      <c r="K21" s="48"/>
      <c r="L21" s="48"/>
      <c r="M21" s="48"/>
      <c r="P21" s="4"/>
      <c r="Q21" s="4"/>
      <c r="R21" s="4"/>
      <c r="S21" s="4"/>
      <c r="T21" s="4"/>
      <c r="U21" s="4"/>
      <c r="V21" s="4"/>
      <c r="W21" s="4"/>
      <c r="X21" s="4"/>
    </row>
    <row r="22" spans="1:24" x14ac:dyDescent="0.2">
      <c r="A22" s="414" t="s">
        <v>14</v>
      </c>
      <c r="B22" s="415"/>
      <c r="C22" s="51">
        <v>0</v>
      </c>
      <c r="D22" s="401"/>
      <c r="E22" s="48"/>
      <c r="F22" s="64"/>
      <c r="G22" s="48"/>
      <c r="H22" s="48"/>
      <c r="I22" s="48"/>
      <c r="J22" s="48"/>
      <c r="K22" s="48"/>
      <c r="L22" s="48"/>
      <c r="M22" s="48"/>
      <c r="P22" s="4"/>
      <c r="Q22" s="4"/>
      <c r="R22" s="4"/>
      <c r="S22" s="4"/>
      <c r="T22" s="4"/>
      <c r="U22" s="4"/>
      <c r="V22" s="4"/>
      <c r="W22" s="4"/>
      <c r="X22" s="4"/>
    </row>
    <row r="24" spans="1:24" s="275" customFormat="1" ht="12.75" x14ac:dyDescent="0.25">
      <c r="A24" s="276" t="s">
        <v>5</v>
      </c>
      <c r="B24" s="276" t="s">
        <v>294</v>
      </c>
      <c r="C24" s="276" t="s">
        <v>295</v>
      </c>
      <c r="D24" s="276" t="s">
        <v>105</v>
      </c>
      <c r="E24" s="276" t="s">
        <v>106</v>
      </c>
      <c r="F24" s="276" t="s">
        <v>68</v>
      </c>
      <c r="G24" s="276" t="s">
        <v>69</v>
      </c>
      <c r="H24" s="276" t="s">
        <v>316</v>
      </c>
      <c r="I24" s="276" t="s">
        <v>120</v>
      </c>
      <c r="J24" s="276" t="s">
        <v>324</v>
      </c>
      <c r="K24" s="276" t="s">
        <v>108</v>
      </c>
      <c r="L24" s="280" t="s">
        <v>298</v>
      </c>
      <c r="M24" s="280" t="s">
        <v>299</v>
      </c>
      <c r="N24" s="276" t="s">
        <v>110</v>
      </c>
      <c r="O24" s="280" t="s">
        <v>111</v>
      </c>
      <c r="P24" s="280" t="s">
        <v>13</v>
      </c>
      <c r="Q24" s="276" t="s">
        <v>194</v>
      </c>
      <c r="R24" s="280" t="s">
        <v>308</v>
      </c>
      <c r="S24" s="280" t="s">
        <v>300</v>
      </c>
      <c r="T24" s="280" t="s">
        <v>310</v>
      </c>
      <c r="U24" s="280" t="s">
        <v>306</v>
      </c>
      <c r="V24" s="280" t="s">
        <v>326</v>
      </c>
      <c r="W24" s="280" t="s">
        <v>327</v>
      </c>
      <c r="X24" s="276" t="s">
        <v>279</v>
      </c>
    </row>
    <row r="25" spans="1:24" s="171" customFormat="1" ht="12.75" x14ac:dyDescent="0.2">
      <c r="A25" s="277" t="s">
        <v>649</v>
      </c>
      <c r="B25" s="277" t="s">
        <v>648</v>
      </c>
      <c r="C25" s="277" t="s">
        <v>648</v>
      </c>
      <c r="D25" s="277" t="s">
        <v>650</v>
      </c>
      <c r="E25" s="277" t="s">
        <v>648</v>
      </c>
      <c r="F25" s="398" t="s">
        <v>651</v>
      </c>
      <c r="G25" s="278">
        <v>22</v>
      </c>
      <c r="H25" s="278" t="s">
        <v>648</v>
      </c>
      <c r="I25" s="279">
        <v>11</v>
      </c>
      <c r="J25" s="279" t="s">
        <v>652</v>
      </c>
      <c r="K25" s="284">
        <f>Table1[[#This Row],[Unit Cost]]/0.7</f>
        <v>121.54285714285714</v>
      </c>
      <c r="L25" s="400">
        <f>Table1[[#This Row],[Unit Price]]*(1-Table1[[#This Row],[Discount]])</f>
        <v>-1215.4285714285716</v>
      </c>
      <c r="M25" s="281">
        <f>IF(Table1[[#This Row],[Type]]="OPEX",$C$19,1)*Table1[[#This Row],[Unit Disc. Price]]*Table1[[#This Row],[Qty]]</f>
        <v>-26739.428571428572</v>
      </c>
      <c r="N25" s="284">
        <v>85.08</v>
      </c>
      <c r="O25" s="282">
        <f>IF(Table1[[#This Row],[Type]]="OPEX",$C$19,1)*Table1[[#This Row],[Unit Cost]]*Table1[[#This Row],[Qty]]</f>
        <v>1871.76</v>
      </c>
      <c r="P25" s="393">
        <f>1-(Table1[[#This Row],[Ext. Cost]]/Table1[[#This Row],[Ext. Disc. Price]])</f>
        <v>1.07</v>
      </c>
      <c r="Q25" s="277" t="s">
        <v>195</v>
      </c>
      <c r="R25" s="283">
        <f>Table1[[#This Row],[Ext. Disc. Price]]/$C$7/$C$19</f>
        <v>-2.187990227594188</v>
      </c>
      <c r="S25" s="283">
        <f>Table1[[#This Row],[Ext. Cost]]/$C$7/$C$19</f>
        <v>0.15315931593159315</v>
      </c>
      <c r="T25" s="283">
        <f>Table1[[#This Row],[Ext. Disc. Price]]/$C$13/$C$19</f>
        <v>-0.19726179849526437</v>
      </c>
      <c r="U25" s="283">
        <f>Table1[[#This Row],[Ext. Cost]]/$C$13/$C$19</f>
        <v>1.3808325894668506E-2</v>
      </c>
      <c r="V25" s="285">
        <f>IF(AND(Table1[[#This Row],[Type]]="CAPEX",Table1[[#This Row],[Finance?]]="MRC"),PMT($C$21/12,$C$19,-Table1[[#This Row],[Ext. Disc. Price]]),0)</f>
        <v>0</v>
      </c>
      <c r="W25" s="285">
        <f>IF(AND(Table1[[#This Row],[Type]]="CAPEX",Table1[[#This Row],[Finance?]]="MRC"),PMT($C$21/12,$C$19,-Table1[[#This Row],[Ext. Disc. Price]])/$C$7,IF(Table1[[#This Row],[Type]]="OPEX",Table1[[#This Row],[Ext. Disc. Price]]/$C$7/$C$19,0))</f>
        <v>0</v>
      </c>
      <c r="X25" s="277"/>
    </row>
    <row r="26" spans="1:24" s="171" customFormat="1" ht="12.75" x14ac:dyDescent="0.2">
      <c r="A26" s="3"/>
      <c r="B26" s="3"/>
      <c r="C26" s="3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</row>
    <row r="27" spans="1:24" s="171" customFormat="1" ht="12.75" x14ac:dyDescent="0.2">
      <c r="A27" s="4"/>
      <c r="B27" s="4"/>
      <c r="C27" s="4"/>
      <c r="D27" s="4"/>
      <c r="E27" s="4"/>
      <c r="F27" s="274"/>
      <c r="G27" s="3"/>
      <c r="H27" s="3"/>
      <c r="I27" s="3"/>
      <c r="J27" s="3"/>
      <c r="K27" s="3"/>
      <c r="L27" s="3"/>
      <c r="M27" s="3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</row>
    <row r="28" spans="1:24" s="179" customFormat="1" x14ac:dyDescent="0.2">
      <c r="A28" s="4"/>
      <c r="B28" s="4"/>
      <c r="C28" s="4"/>
      <c r="D28" s="4"/>
      <c r="E28" s="4"/>
      <c r="F28" s="274"/>
      <c r="G28" s="3"/>
      <c r="H28" s="3"/>
      <c r="I28" s="3"/>
      <c r="J28" s="3"/>
      <c r="K28" s="3"/>
      <c r="L28" s="3"/>
      <c r="M28" s="3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</row>
    <row r="29" spans="1:24" s="179" customFormat="1" x14ac:dyDescent="0.2">
      <c r="A29" s="4"/>
      <c r="B29" s="4"/>
      <c r="C29" s="4"/>
      <c r="D29" s="48"/>
      <c r="E29" s="48"/>
      <c r="F29" s="4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s="179" customFormat="1" x14ac:dyDescent="0.2">
      <c r="A30" s="4"/>
      <c r="B30" s="4"/>
      <c r="C30" s="4"/>
      <c r="D30" s="48"/>
      <c r="E30" s="48"/>
      <c r="F30" s="4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s="179" customFormat="1" x14ac:dyDescent="0.2">
      <c r="A31" s="4"/>
      <c r="B31" s="4"/>
      <c r="C31" s="4"/>
      <c r="D31" s="48"/>
      <c r="E31" s="48"/>
      <c r="F31" s="4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x14ac:dyDescent="0.2">
      <c r="D32" s="48"/>
      <c r="E32" s="48"/>
      <c r="F32" s="4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4:24" x14ac:dyDescent="0.2">
      <c r="D33" s="48"/>
      <c r="E33" s="48"/>
      <c r="F33" s="4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4:24" x14ac:dyDescent="0.2">
      <c r="D34" s="48"/>
      <c r="E34" s="48"/>
      <c r="F34" s="4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4:24" x14ac:dyDescent="0.2">
      <c r="D35" s="48"/>
      <c r="E35" s="48"/>
      <c r="F35" s="4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</sheetData>
  <dataConsolidate/>
  <mergeCells count="18">
    <mergeCell ref="A1:B1"/>
    <mergeCell ref="A5:B5"/>
    <mergeCell ref="A2:B2"/>
    <mergeCell ref="A6:B6"/>
    <mergeCell ref="A7:B7"/>
    <mergeCell ref="A11:B11"/>
    <mergeCell ref="A8:B8"/>
    <mergeCell ref="A9:B9"/>
    <mergeCell ref="A10:B10"/>
    <mergeCell ref="A22:B22"/>
    <mergeCell ref="A20:B20"/>
    <mergeCell ref="A21:B21"/>
    <mergeCell ref="A13:B13"/>
    <mergeCell ref="A14:B14"/>
    <mergeCell ref="A16:B16"/>
    <mergeCell ref="A18:B18"/>
    <mergeCell ref="A19:B19"/>
    <mergeCell ref="A17:B17"/>
  </mergeCells>
  <dataValidations xWindow="800" yWindow="1459" count="5">
    <dataValidation allowBlank="1" showInputMessage="1" showErrorMessage="1" promptTitle="Subcategory" prompt="Use this filed to group line items into a same Category._x000a_E.g.: VSAT, Managed Capacity, Field Services, etc." sqref="C25" xr:uid="{E0A760F4-8416-47B9-84D0-A235C5E9CC9E}"/>
    <dataValidation type="list" showInputMessage="1" showErrorMessage="1" sqref="A25" xr:uid="{291E6558-72E9-41E3-A9BC-D7E36E34A804}">
      <formula1>$BB$6:$BB$8</formula1>
    </dataValidation>
    <dataValidation type="list" showInputMessage="1" showErrorMessage="1" sqref="B25" xr:uid="{381D9315-A54B-4B04-875A-243EE78A63E8}">
      <formula1>$BC$6:$BC$10</formula1>
    </dataValidation>
    <dataValidation type="list" allowBlank="1" showInputMessage="1" showErrorMessage="1" sqref="H25" xr:uid="{FAE6E47D-4092-44BD-B445-4D0D379EE375}">
      <formula1>$BA$6:$BA$13</formula1>
    </dataValidation>
    <dataValidation type="list" allowBlank="1" showInputMessage="1" showErrorMessage="1" promptTitle="Finance" prompt="Only for CAPEX items. Select Yes if this CAPEX is to be financed." sqref="J25" xr:uid="{C8B06698-72F8-4920-A57C-3880C82BCD5B}">
      <formula1>$AZ$6:$AZ$7</formula1>
    </dataValidation>
  </dataValidations>
  <pageMargins left="0.7" right="0.7" top="0.75" bottom="0.75" header="0.3" footer="0.3"/>
  <pageSetup paperSize="9" orientation="portrait" r:id="rId1"/>
  <ignoredErrors>
    <ignoredError sqref="A25:B25" listDataValidatio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E563-576D-41EB-87DF-A39FE4918784}">
  <sheetPr>
    <tabColor rgb="FF92D050"/>
  </sheetPr>
  <dimension ref="B1:J94"/>
  <sheetViews>
    <sheetView topLeftCell="A10" workbookViewId="0">
      <selection activeCell="C13" sqref="C13"/>
    </sheetView>
  </sheetViews>
  <sheetFormatPr baseColWidth="10" defaultColWidth="8.85546875" defaultRowHeight="15" x14ac:dyDescent="0.25"/>
  <cols>
    <col min="2" max="2" width="12.5703125" bestFit="1" customWidth="1"/>
    <col min="3" max="3" width="14.42578125" style="116" bestFit="1" customWidth="1"/>
    <col min="4" max="4" width="10.42578125" style="116" bestFit="1" customWidth="1"/>
    <col min="5" max="5" width="11.5703125" style="116" bestFit="1" customWidth="1"/>
    <col min="6" max="6" width="18.7109375" bestFit="1" customWidth="1"/>
    <col min="7" max="7" width="18.140625" bestFit="1" customWidth="1"/>
    <col min="8" max="8" width="20.28515625" bestFit="1" customWidth="1"/>
    <col min="9" max="9" width="19.7109375" bestFit="1" customWidth="1"/>
    <col min="10" max="10" width="8.42578125" bestFit="1" customWidth="1"/>
    <col min="11" max="11" width="12" customWidth="1"/>
    <col min="12" max="12" width="15.28515625" bestFit="1" customWidth="1"/>
    <col min="13" max="13" width="11.5703125" bestFit="1" customWidth="1"/>
    <col min="14" max="14" width="10" bestFit="1" customWidth="1"/>
    <col min="15" max="15" width="9" bestFit="1" customWidth="1"/>
    <col min="16" max="18" width="10" bestFit="1" customWidth="1"/>
    <col min="19" max="19" width="12" bestFit="1" customWidth="1"/>
    <col min="20" max="20" width="10" bestFit="1" customWidth="1"/>
    <col min="21" max="21" width="20.85546875" bestFit="1" customWidth="1"/>
    <col min="22" max="22" width="20.28515625" bestFit="1" customWidth="1"/>
  </cols>
  <sheetData>
    <row r="1" spans="2:10" x14ac:dyDescent="0.25">
      <c r="C1"/>
    </row>
    <row r="2" spans="2:10" x14ac:dyDescent="0.25">
      <c r="B2" s="265" t="s">
        <v>93</v>
      </c>
      <c r="C2" s="266">
        <f>'QTO DB'!C7</f>
        <v>1111</v>
      </c>
      <c r="D2"/>
      <c r="E2"/>
    </row>
    <row r="3" spans="2:10" x14ac:dyDescent="0.25">
      <c r="B3" s="267" t="s">
        <v>296</v>
      </c>
      <c r="C3" s="268">
        <f>'QTO DB'!C13</f>
        <v>12323</v>
      </c>
      <c r="D3"/>
      <c r="E3"/>
    </row>
    <row r="4" spans="2:10" x14ac:dyDescent="0.25">
      <c r="B4" s="265" t="s">
        <v>297</v>
      </c>
      <c r="C4" s="266">
        <f>'QTO DB'!C19</f>
        <v>11</v>
      </c>
      <c r="D4"/>
      <c r="E4"/>
    </row>
    <row r="5" spans="2:10" x14ac:dyDescent="0.25">
      <c r="C5"/>
      <c r="D5"/>
      <c r="E5"/>
    </row>
    <row r="6" spans="2:10" x14ac:dyDescent="0.25">
      <c r="C6"/>
      <c r="D6"/>
      <c r="E6"/>
    </row>
    <row r="7" spans="2:10" x14ac:dyDescent="0.25">
      <c r="B7" s="417" t="s">
        <v>305</v>
      </c>
      <c r="C7" s="417"/>
      <c r="D7" s="417"/>
      <c r="E7" s="417"/>
      <c r="F7" s="417"/>
      <c r="G7" s="417"/>
      <c r="H7" s="417"/>
      <c r="I7" s="417"/>
      <c r="J7" s="417"/>
    </row>
    <row r="8" spans="2:10" ht="9.75" customHeight="1" x14ac:dyDescent="0.25">
      <c r="C8"/>
      <c r="D8"/>
      <c r="E8"/>
    </row>
    <row r="9" spans="2:10" ht="9.75" customHeight="1" x14ac:dyDescent="0.25">
      <c r="C9"/>
      <c r="D9"/>
      <c r="E9"/>
    </row>
    <row r="10" spans="2:10" ht="9.75" customHeight="1" x14ac:dyDescent="0.25">
      <c r="C10"/>
      <c r="D10"/>
      <c r="E10"/>
    </row>
    <row r="11" spans="2:10" ht="9.75" customHeight="1" x14ac:dyDescent="0.25">
      <c r="C11"/>
      <c r="D11"/>
      <c r="E11"/>
    </row>
    <row r="12" spans="2:10" x14ac:dyDescent="0.25">
      <c r="C12" s="116" t="s">
        <v>301</v>
      </c>
      <c r="D12" s="116" t="s">
        <v>302</v>
      </c>
      <c r="E12" s="116" t="s">
        <v>303</v>
      </c>
      <c r="F12" t="s">
        <v>309</v>
      </c>
      <c r="G12" s="116" t="s">
        <v>304</v>
      </c>
      <c r="H12" t="s">
        <v>311</v>
      </c>
      <c r="I12" t="s">
        <v>307</v>
      </c>
      <c r="J12" t="s">
        <v>3</v>
      </c>
    </row>
    <row r="13" spans="2:10" x14ac:dyDescent="0.25">
      <c r="B13" s="115" t="s">
        <v>644</v>
      </c>
      <c r="C13" s="263">
        <v>0</v>
      </c>
      <c r="D13" s="263">
        <v>0</v>
      </c>
      <c r="E13" s="261" t="e">
        <v>#DIV/0!</v>
      </c>
      <c r="F13" s="264"/>
      <c r="G13" s="264"/>
      <c r="H13" s="264"/>
      <c r="I13" s="264"/>
      <c r="J13" s="395" t="e">
        <v>#DIV/0!</v>
      </c>
    </row>
    <row r="14" spans="2:10" x14ac:dyDescent="0.25">
      <c r="C14"/>
      <c r="D14"/>
      <c r="E14"/>
    </row>
    <row r="15" spans="2:10" x14ac:dyDescent="0.25">
      <c r="C15"/>
      <c r="D15"/>
      <c r="E15"/>
    </row>
    <row r="16" spans="2:10" x14ac:dyDescent="0.25">
      <c r="C16"/>
      <c r="D16"/>
      <c r="E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</sheetData>
  <mergeCells count="1">
    <mergeCell ref="B7:J7"/>
  </mergeCells>
  <pageMargins left="0.7" right="0.7" top="0.75" bottom="0.75" header="0.3" footer="0.3"/>
  <pageSetup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FFB6-3D02-4EBA-8D63-B42B9C5AED1C}">
  <sheetPr>
    <tabColor rgb="FF92D050"/>
  </sheetPr>
  <dimension ref="A1:H62"/>
  <sheetViews>
    <sheetView view="pageLayout" zoomScale="115" zoomScaleNormal="100" zoomScalePageLayoutView="115" workbookViewId="0">
      <selection activeCell="F5" sqref="F5"/>
    </sheetView>
  </sheetViews>
  <sheetFormatPr baseColWidth="10" defaultColWidth="9.28515625" defaultRowHeight="12.75" x14ac:dyDescent="0.2"/>
  <cols>
    <col min="1" max="1" width="11.140625" style="301" bestFit="1" customWidth="1"/>
    <col min="2" max="2" width="17.85546875" style="302" bestFit="1" customWidth="1"/>
    <col min="3" max="3" width="8.42578125" style="308" bestFit="1" customWidth="1"/>
    <col min="4" max="4" width="9.42578125" style="289" bestFit="1" customWidth="1"/>
    <col min="5" max="5" width="12.85546875" style="289" bestFit="1" customWidth="1"/>
    <col min="6" max="6" width="12.28515625" style="170" bestFit="1" customWidth="1"/>
    <col min="7" max="7" width="13" style="289" customWidth="1"/>
    <col min="8" max="8" width="16.140625" style="289" customWidth="1"/>
    <col min="9" max="10" width="36.5703125" style="289" customWidth="1"/>
    <col min="11" max="35" width="22.28515625" style="289" customWidth="1"/>
    <col min="36" max="36" width="26.140625" style="289" customWidth="1"/>
    <col min="37" max="37" width="25.7109375" style="289" customWidth="1"/>
    <col min="38" max="38" width="27.140625" style="289" customWidth="1"/>
    <col min="39" max="16384" width="9.28515625" style="289"/>
  </cols>
  <sheetData>
    <row r="1" spans="1:7" ht="15" x14ac:dyDescent="0.25">
      <c r="A1" s="290" t="s">
        <v>330</v>
      </c>
      <c r="B1" s="290"/>
      <c r="C1" s="290"/>
      <c r="D1" s="290"/>
      <c r="E1" s="290"/>
      <c r="F1" s="290"/>
      <c r="G1" s="290"/>
    </row>
    <row r="2" spans="1:7" ht="15" x14ac:dyDescent="0.25">
      <c r="A2" s="296"/>
      <c r="B2" s="297"/>
      <c r="C2" s="296"/>
      <c r="E2" s="287" t="s">
        <v>331</v>
      </c>
      <c r="F2" t="s">
        <v>333</v>
      </c>
      <c r="G2"/>
    </row>
    <row r="3" spans="1:7" ht="15" x14ac:dyDescent="0.25">
      <c r="A3" s="296"/>
      <c r="B3" s="297"/>
      <c r="C3" s="296"/>
      <c r="E3" s="287" t="s">
        <v>332</v>
      </c>
      <c r="F3" s="291">
        <f ca="1">TODAY()</f>
        <v>45862</v>
      </c>
      <c r="G3" s="291"/>
    </row>
    <row r="4" spans="1:7" ht="15" x14ac:dyDescent="0.25">
      <c r="A4" s="296"/>
      <c r="B4" s="297"/>
      <c r="C4" s="296"/>
      <c r="D4" s="49"/>
      <c r="E4" s="49"/>
      <c r="F4" s="49"/>
    </row>
    <row r="5" spans="1:7" ht="15" x14ac:dyDescent="0.25">
      <c r="A5" s="296"/>
      <c r="B5" s="297"/>
      <c r="C5" s="296"/>
      <c r="D5"/>
      <c r="E5" s="327" t="s">
        <v>334</v>
      </c>
      <c r="F5" s="327"/>
    </row>
    <row r="6" spans="1:7" ht="15" x14ac:dyDescent="0.25">
      <c r="A6" s="296"/>
      <c r="B6" s="297"/>
      <c r="C6" s="296"/>
      <c r="D6"/>
      <c r="E6" s="288"/>
      <c r="F6" s="288"/>
    </row>
    <row r="7" spans="1:7" ht="7.5" customHeight="1" x14ac:dyDescent="0.25">
      <c r="A7" s="298"/>
      <c r="B7" s="299"/>
      <c r="C7" s="298"/>
      <c r="D7" s="286"/>
      <c r="E7" s="286"/>
      <c r="F7" s="286"/>
      <c r="G7" s="292"/>
    </row>
    <row r="8" spans="1:7" ht="30" x14ac:dyDescent="0.25">
      <c r="A8" s="300" t="s">
        <v>335</v>
      </c>
      <c r="B8" s="328" t="str">
        <f>'QTO DB'!$C$2</f>
        <v/>
      </c>
      <c r="C8" s="297"/>
      <c r="D8" s="293" t="s">
        <v>337</v>
      </c>
      <c r="E8" s="262" t="str">
        <f>'QTO DB'!$C$4</f>
        <v/>
      </c>
      <c r="F8"/>
    </row>
    <row r="9" spans="1:7" ht="7.5" customHeight="1" x14ac:dyDescent="0.25">
      <c r="A9" s="298"/>
      <c r="B9" s="299"/>
      <c r="C9" s="298"/>
      <c r="D9" s="286"/>
      <c r="E9" s="286"/>
      <c r="F9" s="286"/>
      <c r="G9" s="292"/>
    </row>
    <row r="10" spans="1:7" ht="13.5" thickBot="1" x14ac:dyDescent="0.25">
      <c r="B10" s="307"/>
    </row>
    <row r="11" spans="1:7" ht="15" customHeight="1" thickBot="1" x14ac:dyDescent="0.3">
      <c r="A11" s="319" t="s">
        <v>345</v>
      </c>
      <c r="B11" s="320"/>
      <c r="C11" s="320"/>
      <c r="D11" s="320"/>
      <c r="E11" s="320"/>
      <c r="F11" s="320"/>
      <c r="G11" s="321"/>
    </row>
    <row r="12" spans="1:7" ht="13.5" thickBot="1" x14ac:dyDescent="0.25">
      <c r="B12" s="307"/>
      <c r="C12" s="329" t="s">
        <v>324</v>
      </c>
      <c r="D12" s="330" t="s">
        <v>652</v>
      </c>
    </row>
    <row r="13" spans="1:7" ht="9" customHeight="1" thickBot="1" x14ac:dyDescent="0.25">
      <c r="B13" s="307"/>
    </row>
    <row r="14" spans="1:7" ht="39" thickBot="1" x14ac:dyDescent="0.25">
      <c r="A14" s="303" t="s">
        <v>356</v>
      </c>
      <c r="B14" s="325" t="s">
        <v>2</v>
      </c>
      <c r="C14" s="331" t="s">
        <v>344</v>
      </c>
    </row>
    <row r="15" spans="1:7" ht="128.25" thickBot="1" x14ac:dyDescent="0.25">
      <c r="A15" s="304" t="s">
        <v>357</v>
      </c>
      <c r="B15" s="326">
        <f>'QTO DB'!C7</f>
        <v>1111</v>
      </c>
      <c r="C15" s="332">
        <v>0</v>
      </c>
    </row>
    <row r="16" spans="1:7" ht="13.5" thickBot="1" x14ac:dyDescent="0.25">
      <c r="A16" s="305"/>
      <c r="B16" s="307"/>
      <c r="C16" s="301"/>
    </row>
    <row r="17" spans="1:8" ht="15.75" thickBot="1" x14ac:dyDescent="0.3">
      <c r="A17" s="322" t="s">
        <v>346</v>
      </c>
      <c r="B17" s="323"/>
      <c r="C17" s="323"/>
      <c r="D17" s="323"/>
      <c r="E17" s="323"/>
      <c r="F17" s="323"/>
      <c r="G17" s="324"/>
    </row>
    <row r="18" spans="1:8" hidden="1" x14ac:dyDescent="0.2">
      <c r="A18" s="333" t="s">
        <v>324</v>
      </c>
      <c r="B18" s="399" t="s">
        <v>647</v>
      </c>
      <c r="C18" s="301"/>
      <c r="G18" s="294"/>
    </row>
    <row r="19" spans="1:8" ht="4.5" customHeight="1" x14ac:dyDescent="0.2">
      <c r="A19" s="306"/>
      <c r="B19" s="307"/>
      <c r="C19" s="301"/>
      <c r="G19" s="294"/>
    </row>
    <row r="20" spans="1:8" ht="25.5" x14ac:dyDescent="0.25">
      <c r="A20" s="309" t="s">
        <v>339</v>
      </c>
      <c r="B20" s="310" t="s">
        <v>69</v>
      </c>
      <c r="C20" s="311" t="s">
        <v>340</v>
      </c>
      <c r="D20" s="295" t="s">
        <v>343</v>
      </c>
      <c r="E20" s="295" t="s">
        <v>341</v>
      </c>
      <c r="F20" s="295" t="s">
        <v>342</v>
      </c>
      <c r="G20"/>
      <c r="H20"/>
    </row>
    <row r="21" spans="1:8" ht="15" x14ac:dyDescent="0.25">
      <c r="A21" s="311" t="s">
        <v>644</v>
      </c>
      <c r="B21" s="311"/>
      <c r="C21" s="312"/>
      <c r="D21" s="314"/>
      <c r="E21" s="313"/>
      <c r="F21" s="313"/>
      <c r="G21"/>
      <c r="H21"/>
    </row>
    <row r="22" spans="1:8" ht="15" x14ac:dyDescent="0.25">
      <c r="A22"/>
      <c r="B22"/>
      <c r="C22"/>
      <c r="D22"/>
      <c r="E22"/>
      <c r="F22"/>
      <c r="G22"/>
      <c r="H22"/>
    </row>
    <row r="23" spans="1:8" ht="15" x14ac:dyDescent="0.25">
      <c r="A23"/>
      <c r="B23"/>
      <c r="C23"/>
      <c r="D23"/>
      <c r="E23"/>
      <c r="F23"/>
      <c r="G23"/>
      <c r="H23"/>
    </row>
    <row r="24" spans="1:8" ht="15" x14ac:dyDescent="0.25">
      <c r="A24"/>
      <c r="B24"/>
      <c r="C24"/>
      <c r="D24"/>
      <c r="E24"/>
      <c r="F24"/>
      <c r="G24"/>
      <c r="H24"/>
    </row>
    <row r="25" spans="1:8" ht="15" x14ac:dyDescent="0.25">
      <c r="A25"/>
      <c r="B25"/>
      <c r="C25"/>
      <c r="D25"/>
      <c r="E25"/>
      <c r="F25"/>
      <c r="G25"/>
      <c r="H25"/>
    </row>
    <row r="26" spans="1:8" ht="15" x14ac:dyDescent="0.25">
      <c r="A26"/>
      <c r="B26"/>
      <c r="C26"/>
      <c r="D26"/>
      <c r="E26"/>
      <c r="F26"/>
      <c r="G26"/>
      <c r="H26"/>
    </row>
    <row r="27" spans="1:8" ht="15" x14ac:dyDescent="0.25">
      <c r="A27"/>
      <c r="B27"/>
      <c r="C27"/>
      <c r="D27"/>
      <c r="E27"/>
      <c r="F27"/>
      <c r="G27"/>
      <c r="H27"/>
    </row>
    <row r="28" spans="1:8" ht="15" x14ac:dyDescent="0.25">
      <c r="A28"/>
      <c r="B28"/>
      <c r="C28"/>
      <c r="D28"/>
      <c r="E28"/>
      <c r="F28"/>
      <c r="G28"/>
      <c r="H28"/>
    </row>
    <row r="29" spans="1:8" ht="15" x14ac:dyDescent="0.25">
      <c r="A29"/>
      <c r="B29"/>
      <c r="C29"/>
      <c r="D29"/>
      <c r="E29"/>
      <c r="F29"/>
      <c r="G29"/>
      <c r="H29"/>
    </row>
    <row r="30" spans="1:8" ht="15" x14ac:dyDescent="0.25">
      <c r="A30"/>
      <c r="B30"/>
      <c r="C30"/>
      <c r="D30"/>
      <c r="E30"/>
      <c r="F30"/>
      <c r="G30"/>
      <c r="H30"/>
    </row>
    <row r="31" spans="1:8" ht="15" x14ac:dyDescent="0.25">
      <c r="A31"/>
      <c r="B31"/>
      <c r="C31"/>
      <c r="D31"/>
      <c r="E31"/>
      <c r="F31"/>
      <c r="G31"/>
      <c r="H31"/>
    </row>
    <row r="32" spans="1:8" ht="15" x14ac:dyDescent="0.25">
      <c r="A32"/>
      <c r="B32"/>
      <c r="C32"/>
      <c r="D32"/>
      <c r="E32"/>
      <c r="F32"/>
    </row>
    <row r="33" spans="1:7" ht="15" x14ac:dyDescent="0.25">
      <c r="A33"/>
      <c r="B33"/>
      <c r="C33"/>
      <c r="D33"/>
      <c r="E33"/>
      <c r="F33"/>
      <c r="G33" s="317"/>
    </row>
    <row r="34" spans="1:7" ht="15" x14ac:dyDescent="0.25">
      <c r="A34"/>
      <c r="B34"/>
      <c r="C34"/>
      <c r="D34"/>
      <c r="E34"/>
      <c r="F34"/>
    </row>
    <row r="35" spans="1:7" ht="15" x14ac:dyDescent="0.25">
      <c r="A35"/>
      <c r="B35"/>
      <c r="C35"/>
      <c r="D35"/>
      <c r="E35"/>
      <c r="F35"/>
    </row>
    <row r="36" spans="1:7" ht="15" x14ac:dyDescent="0.25">
      <c r="A36"/>
      <c r="B36"/>
      <c r="C36"/>
      <c r="D36"/>
      <c r="E36"/>
      <c r="F36"/>
    </row>
    <row r="37" spans="1:7" ht="15.75" thickBot="1" x14ac:dyDescent="0.3">
      <c r="A37"/>
      <c r="B37"/>
      <c r="C37"/>
      <c r="D37"/>
      <c r="E37"/>
      <c r="F37"/>
    </row>
    <row r="38" spans="1:7" ht="15" x14ac:dyDescent="0.25">
      <c r="A38"/>
      <c r="B38"/>
      <c r="C38"/>
      <c r="D38"/>
      <c r="E38"/>
      <c r="F38"/>
      <c r="G38" s="315"/>
    </row>
    <row r="39" spans="1:7" ht="15.75" thickBot="1" x14ac:dyDescent="0.3">
      <c r="A39"/>
      <c r="B39"/>
      <c r="C39"/>
      <c r="D39"/>
      <c r="E39"/>
      <c r="F39"/>
      <c r="G39" s="316"/>
    </row>
    <row r="40" spans="1:7" ht="15" x14ac:dyDescent="0.25">
      <c r="A40"/>
      <c r="B40"/>
      <c r="C40"/>
      <c r="D40"/>
      <c r="E40"/>
      <c r="F40"/>
    </row>
    <row r="41" spans="1:7" ht="15" x14ac:dyDescent="0.25">
      <c r="A41"/>
      <c r="B41"/>
      <c r="C41"/>
      <c r="D41"/>
      <c r="E41"/>
      <c r="F41"/>
    </row>
    <row r="42" spans="1:7" ht="15" x14ac:dyDescent="0.25">
      <c r="A42"/>
      <c r="B42"/>
      <c r="C42"/>
      <c r="D42"/>
      <c r="E42"/>
      <c r="F42"/>
    </row>
    <row r="43" spans="1:7" ht="15" x14ac:dyDescent="0.25">
      <c r="A43"/>
      <c r="B43"/>
      <c r="C43"/>
      <c r="D43"/>
      <c r="E43"/>
      <c r="F43"/>
    </row>
    <row r="44" spans="1:7" ht="15" x14ac:dyDescent="0.25">
      <c r="A44"/>
      <c r="B44"/>
      <c r="C44"/>
      <c r="D44"/>
      <c r="E44"/>
      <c r="F44"/>
    </row>
    <row r="45" spans="1:7" ht="15" x14ac:dyDescent="0.25">
      <c r="A45"/>
      <c r="B45"/>
      <c r="C45"/>
      <c r="D45"/>
      <c r="E45"/>
      <c r="F45"/>
    </row>
    <row r="46" spans="1:7" ht="15" x14ac:dyDescent="0.25">
      <c r="A46"/>
      <c r="B46"/>
      <c r="C46"/>
      <c r="D46"/>
      <c r="E46"/>
      <c r="F46"/>
    </row>
    <row r="47" spans="1:7" ht="15" x14ac:dyDescent="0.25">
      <c r="A47"/>
      <c r="B47"/>
      <c r="C47"/>
      <c r="D47"/>
      <c r="E47"/>
      <c r="F47"/>
    </row>
    <row r="48" spans="1:7" ht="15" x14ac:dyDescent="0.25">
      <c r="A48"/>
      <c r="B48"/>
      <c r="C48"/>
      <c r="D48"/>
      <c r="E48"/>
      <c r="F48"/>
    </row>
    <row r="49" spans="1:7" ht="15" x14ac:dyDescent="0.25">
      <c r="A49"/>
      <c r="B49"/>
      <c r="C49"/>
      <c r="D49"/>
      <c r="E49"/>
      <c r="F49"/>
    </row>
    <row r="50" spans="1:7" ht="15" x14ac:dyDescent="0.25">
      <c r="A50"/>
      <c r="B50"/>
      <c r="C50"/>
      <c r="D50"/>
      <c r="E50"/>
      <c r="F50"/>
      <c r="G50" s="318"/>
    </row>
    <row r="51" spans="1:7" ht="15" x14ac:dyDescent="0.25">
      <c r="A51"/>
      <c r="B51"/>
      <c r="C51"/>
      <c r="D51"/>
      <c r="E51"/>
      <c r="F51"/>
    </row>
    <row r="52" spans="1:7" ht="15" x14ac:dyDescent="0.25">
      <c r="A52"/>
      <c r="B52"/>
      <c r="C52"/>
      <c r="D52"/>
      <c r="E52"/>
      <c r="F52"/>
    </row>
    <row r="53" spans="1:7" ht="15" x14ac:dyDescent="0.25">
      <c r="A53"/>
      <c r="B53"/>
      <c r="C53"/>
      <c r="D53"/>
      <c r="E53"/>
      <c r="F53"/>
    </row>
    <row r="54" spans="1:7" x14ac:dyDescent="0.2">
      <c r="A54" s="289" t="s">
        <v>347</v>
      </c>
      <c r="B54" s="289"/>
      <c r="C54" s="289"/>
      <c r="F54" s="289"/>
    </row>
    <row r="55" spans="1:7" x14ac:dyDescent="0.2">
      <c r="A55" s="289" t="s">
        <v>348</v>
      </c>
      <c r="B55" s="289"/>
      <c r="C55" s="289"/>
      <c r="F55" s="289"/>
    </row>
    <row r="56" spans="1:7" x14ac:dyDescent="0.2">
      <c r="A56" s="289" t="s">
        <v>349</v>
      </c>
      <c r="B56" s="289"/>
      <c r="C56" s="289"/>
      <c r="F56" s="289"/>
    </row>
    <row r="57" spans="1:7" x14ac:dyDescent="0.2">
      <c r="A57" s="289" t="s">
        <v>350</v>
      </c>
      <c r="B57" s="289"/>
      <c r="C57" s="289"/>
      <c r="F57" s="289"/>
    </row>
    <row r="58" spans="1:7" x14ac:dyDescent="0.2">
      <c r="A58" s="289" t="s">
        <v>351</v>
      </c>
      <c r="B58" s="289"/>
      <c r="C58" s="289"/>
      <c r="F58" s="289"/>
    </row>
    <row r="59" spans="1:7" x14ac:dyDescent="0.2">
      <c r="A59" s="289" t="s">
        <v>352</v>
      </c>
      <c r="B59" s="289"/>
      <c r="C59" s="289"/>
      <c r="F59" s="289"/>
    </row>
    <row r="60" spans="1:7" x14ac:dyDescent="0.2">
      <c r="A60" s="289" t="s">
        <v>353</v>
      </c>
      <c r="B60" s="289"/>
      <c r="C60" s="289"/>
      <c r="F60" s="289"/>
    </row>
    <row r="61" spans="1:7" x14ac:dyDescent="0.2">
      <c r="A61" s="289" t="s">
        <v>354</v>
      </c>
      <c r="B61" s="289"/>
      <c r="C61" s="289"/>
      <c r="F61" s="289"/>
    </row>
    <row r="62" spans="1:7" x14ac:dyDescent="0.2">
      <c r="A62" s="289" t="s">
        <v>355</v>
      </c>
      <c r="B62" s="289"/>
      <c r="C62" s="289"/>
      <c r="F62" s="289"/>
    </row>
  </sheetData>
  <pageMargins left="0.25" right="0.25" top="0.25" bottom="0.25" header="0.3" footer="0.3"/>
  <pageSetup scale="70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ED28-3926-45FC-AC08-03A1378F2B4B}">
  <dimension ref="A1:G29"/>
  <sheetViews>
    <sheetView workbookViewId="0">
      <selection activeCell="B19" sqref="B19"/>
    </sheetView>
  </sheetViews>
  <sheetFormatPr baseColWidth="10" defaultColWidth="11.42578125" defaultRowHeight="15" x14ac:dyDescent="0.25"/>
  <cols>
    <col min="2" max="2" width="49" customWidth="1"/>
    <col min="3" max="3" width="18" style="101" customWidth="1"/>
    <col min="4" max="4" width="15.140625" style="101" customWidth="1"/>
    <col min="5" max="5" width="11.42578125" style="101"/>
    <col min="7" max="7" width="25.85546875" customWidth="1"/>
  </cols>
  <sheetData>
    <row r="1" spans="1:7" x14ac:dyDescent="0.25">
      <c r="A1" s="339" t="s">
        <v>339</v>
      </c>
      <c r="B1" s="339" t="s">
        <v>358</v>
      </c>
      <c r="C1" s="339" t="s">
        <v>359</v>
      </c>
      <c r="D1" s="339" t="s">
        <v>360</v>
      </c>
      <c r="E1" s="339" t="s">
        <v>361</v>
      </c>
      <c r="F1" s="339" t="s">
        <v>362</v>
      </c>
      <c r="G1" s="339" t="s">
        <v>363</v>
      </c>
    </row>
    <row r="2" spans="1:7" ht="45" x14ac:dyDescent="0.25">
      <c r="A2" s="340">
        <v>1</v>
      </c>
      <c r="B2" s="341" t="s">
        <v>364</v>
      </c>
      <c r="C2" s="340">
        <v>120</v>
      </c>
      <c r="D2" s="340">
        <v>240</v>
      </c>
      <c r="E2" s="340" t="s">
        <v>365</v>
      </c>
      <c r="F2" s="342" t="s">
        <v>366</v>
      </c>
      <c r="G2" s="340" t="s">
        <v>367</v>
      </c>
    </row>
    <row r="3" spans="1:7" ht="45" x14ac:dyDescent="0.25">
      <c r="A3" s="340">
        <v>2</v>
      </c>
      <c r="B3" s="341" t="s">
        <v>364</v>
      </c>
      <c r="C3" s="340">
        <v>165</v>
      </c>
      <c r="D3" s="340">
        <v>330</v>
      </c>
      <c r="E3" s="340" t="s">
        <v>365</v>
      </c>
      <c r="F3" s="343" t="s">
        <v>368</v>
      </c>
      <c r="G3" s="340" t="s">
        <v>367</v>
      </c>
    </row>
    <row r="4" spans="1:7" ht="45" x14ac:dyDescent="0.25">
      <c r="A4" s="340">
        <v>3</v>
      </c>
      <c r="B4" s="341" t="s">
        <v>364</v>
      </c>
      <c r="C4" s="340">
        <v>210</v>
      </c>
      <c r="D4" s="340">
        <v>420</v>
      </c>
      <c r="E4" s="340" t="s">
        <v>365</v>
      </c>
      <c r="F4" s="344" t="s">
        <v>369</v>
      </c>
      <c r="G4" s="340" t="s">
        <v>367</v>
      </c>
    </row>
    <row r="5" spans="1:7" ht="45" x14ac:dyDescent="0.25">
      <c r="A5" s="340">
        <v>4</v>
      </c>
      <c r="B5" s="341" t="s">
        <v>364</v>
      </c>
      <c r="C5" s="340">
        <v>330</v>
      </c>
      <c r="D5" s="340">
        <v>660</v>
      </c>
      <c r="E5" s="340" t="s">
        <v>365</v>
      </c>
      <c r="F5" s="345" t="s">
        <v>370</v>
      </c>
      <c r="G5" s="340" t="s">
        <v>367</v>
      </c>
    </row>
    <row r="6" spans="1:7" ht="45" x14ac:dyDescent="0.25">
      <c r="A6" s="340">
        <v>5</v>
      </c>
      <c r="B6" s="341" t="s">
        <v>371</v>
      </c>
      <c r="C6" s="340">
        <v>140</v>
      </c>
      <c r="D6" s="340">
        <v>280</v>
      </c>
      <c r="E6" s="340" t="s">
        <v>365</v>
      </c>
      <c r="F6" s="342" t="s">
        <v>366</v>
      </c>
      <c r="G6" s="340" t="s">
        <v>372</v>
      </c>
    </row>
    <row r="7" spans="1:7" ht="45" x14ac:dyDescent="0.25">
      <c r="A7" s="340">
        <v>6</v>
      </c>
      <c r="B7" s="341" t="s">
        <v>371</v>
      </c>
      <c r="C7" s="340">
        <v>185</v>
      </c>
      <c r="D7" s="340">
        <v>370</v>
      </c>
      <c r="E7" s="340" t="s">
        <v>365</v>
      </c>
      <c r="F7" s="343" t="s">
        <v>368</v>
      </c>
      <c r="G7" s="340" t="s">
        <v>372</v>
      </c>
    </row>
    <row r="8" spans="1:7" ht="45" x14ac:dyDescent="0.25">
      <c r="A8" s="340">
        <v>7</v>
      </c>
      <c r="B8" s="341" t="s">
        <v>371</v>
      </c>
      <c r="C8" s="340">
        <v>230</v>
      </c>
      <c r="D8" s="340">
        <v>460</v>
      </c>
      <c r="E8" s="340" t="s">
        <v>365</v>
      </c>
      <c r="F8" s="344" t="s">
        <v>369</v>
      </c>
      <c r="G8" s="340" t="s">
        <v>372</v>
      </c>
    </row>
    <row r="9" spans="1:7" ht="45" x14ac:dyDescent="0.25">
      <c r="A9" s="340">
        <v>8</v>
      </c>
      <c r="B9" s="341" t="s">
        <v>371</v>
      </c>
      <c r="C9" s="340">
        <v>350</v>
      </c>
      <c r="D9" s="340">
        <v>700</v>
      </c>
      <c r="E9" s="340" t="s">
        <v>365</v>
      </c>
      <c r="F9" s="345" t="s">
        <v>370</v>
      </c>
      <c r="G9" s="340" t="s">
        <v>372</v>
      </c>
    </row>
    <row r="10" spans="1:7" ht="45" x14ac:dyDescent="0.25">
      <c r="A10" s="340">
        <v>9</v>
      </c>
      <c r="B10" s="341" t="s">
        <v>373</v>
      </c>
      <c r="C10" s="340">
        <v>140</v>
      </c>
      <c r="D10" s="340">
        <v>280</v>
      </c>
      <c r="E10" s="340" t="s">
        <v>365</v>
      </c>
      <c r="F10" s="342" t="s">
        <v>366</v>
      </c>
      <c r="G10" s="340" t="s">
        <v>374</v>
      </c>
    </row>
    <row r="11" spans="1:7" ht="45" x14ac:dyDescent="0.25">
      <c r="A11" s="340">
        <v>10</v>
      </c>
      <c r="B11" s="341" t="s">
        <v>373</v>
      </c>
      <c r="C11" s="340">
        <v>185</v>
      </c>
      <c r="D11" s="340">
        <v>370</v>
      </c>
      <c r="E11" s="340" t="s">
        <v>365</v>
      </c>
      <c r="F11" s="343" t="s">
        <v>368</v>
      </c>
      <c r="G11" s="340" t="s">
        <v>374</v>
      </c>
    </row>
    <row r="12" spans="1:7" ht="45" x14ac:dyDescent="0.25">
      <c r="A12" s="340">
        <v>11</v>
      </c>
      <c r="B12" s="341" t="s">
        <v>373</v>
      </c>
      <c r="C12" s="340">
        <v>230</v>
      </c>
      <c r="D12" s="340">
        <v>460</v>
      </c>
      <c r="E12" s="340" t="s">
        <v>365</v>
      </c>
      <c r="F12" s="344" t="s">
        <v>369</v>
      </c>
      <c r="G12" s="340" t="s">
        <v>374</v>
      </c>
    </row>
    <row r="13" spans="1:7" ht="45" x14ac:dyDescent="0.25">
      <c r="A13" s="340">
        <v>12</v>
      </c>
      <c r="B13" s="341" t="s">
        <v>373</v>
      </c>
      <c r="C13" s="340">
        <v>350</v>
      </c>
      <c r="D13" s="340">
        <v>700</v>
      </c>
      <c r="E13" s="340" t="s">
        <v>365</v>
      </c>
      <c r="F13" s="345" t="s">
        <v>370</v>
      </c>
      <c r="G13" s="340" t="s">
        <v>374</v>
      </c>
    </row>
    <row r="14" spans="1:7" ht="120" x14ac:dyDescent="0.25">
      <c r="A14" s="340">
        <v>13</v>
      </c>
      <c r="B14" s="346" t="s">
        <v>375</v>
      </c>
      <c r="C14" s="340">
        <v>426</v>
      </c>
      <c r="D14" s="340">
        <v>608</v>
      </c>
      <c r="E14" s="340" t="s">
        <v>365</v>
      </c>
      <c r="F14" s="346"/>
      <c r="G14" s="346"/>
    </row>
    <row r="15" spans="1:7" ht="45" x14ac:dyDescent="0.25">
      <c r="A15" s="340">
        <v>14</v>
      </c>
      <c r="B15" s="346" t="s">
        <v>376</v>
      </c>
      <c r="C15" s="340">
        <v>40</v>
      </c>
      <c r="D15" s="347">
        <f>C15/0.7</f>
        <v>57.142857142857146</v>
      </c>
      <c r="E15" s="340" t="s">
        <v>365</v>
      </c>
      <c r="F15" s="346"/>
      <c r="G15" s="346"/>
    </row>
    <row r="16" spans="1:7" x14ac:dyDescent="0.25">
      <c r="A16" s="340">
        <v>15</v>
      </c>
      <c r="B16" s="346" t="s">
        <v>377</v>
      </c>
      <c r="C16" s="347">
        <v>289.47368421052636</v>
      </c>
      <c r="D16" s="347">
        <f>C16/0.7</f>
        <v>413.53383458646624</v>
      </c>
      <c r="E16" s="340" t="s">
        <v>365</v>
      </c>
      <c r="F16" s="346"/>
      <c r="G16" s="340" t="s">
        <v>367</v>
      </c>
    </row>
    <row r="17" spans="1:7" x14ac:dyDescent="0.25">
      <c r="A17" s="340">
        <v>16</v>
      </c>
      <c r="B17" s="346" t="s">
        <v>378</v>
      </c>
      <c r="C17" s="347">
        <v>657.89473684210532</v>
      </c>
      <c r="D17" s="347">
        <f t="shared" ref="D17:D29" si="0">C17/0.7</f>
        <v>939.84962406015052</v>
      </c>
      <c r="E17" s="340" t="s">
        <v>365</v>
      </c>
      <c r="F17" s="346"/>
      <c r="G17" s="340" t="s">
        <v>367</v>
      </c>
    </row>
    <row r="18" spans="1:7" x14ac:dyDescent="0.25">
      <c r="A18" s="340">
        <v>17</v>
      </c>
      <c r="B18" s="346" t="s">
        <v>379</v>
      </c>
      <c r="C18" s="347">
        <v>57.894736842105267</v>
      </c>
      <c r="D18" s="347">
        <f t="shared" si="0"/>
        <v>82.706766917293251</v>
      </c>
      <c r="E18" s="340" t="s">
        <v>365</v>
      </c>
      <c r="F18" s="346"/>
      <c r="G18" s="340" t="s">
        <v>367</v>
      </c>
    </row>
    <row r="19" spans="1:7" x14ac:dyDescent="0.25">
      <c r="A19" s="340">
        <v>18</v>
      </c>
      <c r="B19" s="346" t="s">
        <v>380</v>
      </c>
      <c r="C19" s="347">
        <v>57.894736842105267</v>
      </c>
      <c r="D19" s="347">
        <f t="shared" si="0"/>
        <v>82.706766917293251</v>
      </c>
      <c r="E19" s="340" t="s">
        <v>365</v>
      </c>
      <c r="F19" s="346"/>
      <c r="G19" s="340" t="s">
        <v>367</v>
      </c>
    </row>
    <row r="20" spans="1:7" x14ac:dyDescent="0.25">
      <c r="A20" s="340">
        <v>19</v>
      </c>
      <c r="B20" s="346" t="s">
        <v>381</v>
      </c>
      <c r="C20" s="347">
        <v>65.789473684210535</v>
      </c>
      <c r="D20" s="347">
        <f t="shared" si="0"/>
        <v>93.984962406015057</v>
      </c>
      <c r="E20" s="340" t="s">
        <v>365</v>
      </c>
      <c r="F20" s="346"/>
      <c r="G20" s="340" t="s">
        <v>367</v>
      </c>
    </row>
    <row r="21" spans="1:7" x14ac:dyDescent="0.25">
      <c r="A21" s="340">
        <v>20</v>
      </c>
      <c r="B21" s="346" t="s">
        <v>382</v>
      </c>
      <c r="C21" s="347">
        <v>78.94736842105263</v>
      </c>
      <c r="D21" s="347">
        <f t="shared" si="0"/>
        <v>112.78195488721805</v>
      </c>
      <c r="E21" s="340" t="s">
        <v>365</v>
      </c>
      <c r="F21" s="346"/>
      <c r="G21" s="340" t="s">
        <v>367</v>
      </c>
    </row>
    <row r="22" spans="1:7" x14ac:dyDescent="0.25">
      <c r="A22" s="340">
        <v>21</v>
      </c>
      <c r="B22" s="346" t="s">
        <v>383</v>
      </c>
      <c r="C22" s="347">
        <v>210.5263157894737</v>
      </c>
      <c r="D22" s="347">
        <f t="shared" si="0"/>
        <v>300.75187969924815</v>
      </c>
      <c r="E22" s="340" t="s">
        <v>365</v>
      </c>
      <c r="F22" s="346"/>
      <c r="G22" s="340" t="s">
        <v>367</v>
      </c>
    </row>
    <row r="23" spans="1:7" x14ac:dyDescent="0.25">
      <c r="A23" s="340">
        <v>25</v>
      </c>
      <c r="B23" s="346" t="s">
        <v>384</v>
      </c>
      <c r="C23" s="347">
        <v>31.578947368421055</v>
      </c>
      <c r="D23" s="347">
        <f t="shared" si="0"/>
        <v>45.112781954887225</v>
      </c>
      <c r="E23" s="340" t="s">
        <v>365</v>
      </c>
      <c r="F23" s="346"/>
      <c r="G23" s="340" t="s">
        <v>367</v>
      </c>
    </row>
    <row r="24" spans="1:7" x14ac:dyDescent="0.25">
      <c r="A24" s="340">
        <v>26</v>
      </c>
      <c r="B24" s="346" t="s">
        <v>385</v>
      </c>
      <c r="C24" s="347">
        <v>39.473684210526315</v>
      </c>
      <c r="D24" s="347">
        <f t="shared" si="0"/>
        <v>56.390977443609025</v>
      </c>
      <c r="E24" s="340" t="s">
        <v>365</v>
      </c>
      <c r="F24" s="346"/>
      <c r="G24" s="340" t="s">
        <v>367</v>
      </c>
    </row>
    <row r="25" spans="1:7" x14ac:dyDescent="0.25">
      <c r="A25" s="340">
        <v>27</v>
      </c>
      <c r="B25" s="346" t="s">
        <v>386</v>
      </c>
      <c r="C25" s="347">
        <v>31.578947368421055</v>
      </c>
      <c r="D25" s="347">
        <f t="shared" si="0"/>
        <v>45.112781954887225</v>
      </c>
      <c r="E25" s="340" t="s">
        <v>365</v>
      </c>
      <c r="F25" s="346"/>
      <c r="G25" s="340" t="s">
        <v>367</v>
      </c>
    </row>
    <row r="26" spans="1:7" x14ac:dyDescent="0.25">
      <c r="A26" s="340">
        <v>28</v>
      </c>
      <c r="B26" s="346" t="s">
        <v>387</v>
      </c>
      <c r="C26" s="347">
        <v>27.631578947368421</v>
      </c>
      <c r="D26" s="347">
        <f t="shared" si="0"/>
        <v>39.473684210526315</v>
      </c>
      <c r="E26" s="340" t="s">
        <v>365</v>
      </c>
      <c r="F26" s="346"/>
      <c r="G26" s="340" t="s">
        <v>367</v>
      </c>
    </row>
    <row r="27" spans="1:7" x14ac:dyDescent="0.25">
      <c r="A27" s="340">
        <v>29</v>
      </c>
      <c r="B27" s="346" t="s">
        <v>388</v>
      </c>
      <c r="C27" s="347">
        <v>55.263157894736842</v>
      </c>
      <c r="D27" s="347">
        <f t="shared" si="0"/>
        <v>78.94736842105263</v>
      </c>
      <c r="E27" s="340" t="s">
        <v>365</v>
      </c>
      <c r="F27" s="346"/>
      <c r="G27" s="340" t="s">
        <v>367</v>
      </c>
    </row>
    <row r="28" spans="1:7" x14ac:dyDescent="0.25">
      <c r="A28" s="340">
        <v>30</v>
      </c>
      <c r="B28" s="346" t="s">
        <v>389</v>
      </c>
      <c r="C28" s="347">
        <v>82.89473684210526</v>
      </c>
      <c r="D28" s="347">
        <f t="shared" si="0"/>
        <v>118.42105263157895</v>
      </c>
      <c r="E28" s="340" t="s">
        <v>365</v>
      </c>
      <c r="F28" s="346"/>
      <c r="G28" s="340" t="s">
        <v>367</v>
      </c>
    </row>
    <row r="29" spans="1:7" x14ac:dyDescent="0.25">
      <c r="A29" s="340">
        <v>31</v>
      </c>
      <c r="B29" s="346" t="s">
        <v>390</v>
      </c>
      <c r="C29" s="340">
        <v>10</v>
      </c>
      <c r="D29" s="347">
        <f t="shared" si="0"/>
        <v>14.285714285714286</v>
      </c>
      <c r="E29" s="340" t="s">
        <v>365</v>
      </c>
      <c r="F29" s="346"/>
      <c r="G29" s="340" t="s">
        <v>367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6EA52-4E47-4283-8B14-84BC7E9D9A34}">
  <dimension ref="A1:D190"/>
  <sheetViews>
    <sheetView topLeftCell="A76" workbookViewId="0">
      <selection activeCell="F63" sqref="F63"/>
    </sheetView>
  </sheetViews>
  <sheetFormatPr baseColWidth="10" defaultColWidth="11" defaultRowHeight="15" x14ac:dyDescent="0.25"/>
  <cols>
    <col min="1" max="1" width="20.28515625" customWidth="1"/>
    <col min="2" max="2" width="17.42578125" customWidth="1"/>
    <col min="3" max="3" width="21.5703125" customWidth="1"/>
    <col min="4" max="4" width="18.85546875" customWidth="1"/>
  </cols>
  <sheetData>
    <row r="1" spans="1:4" x14ac:dyDescent="0.25">
      <c r="A1" s="348" t="s">
        <v>391</v>
      </c>
      <c r="B1" s="348" t="s">
        <v>392</v>
      </c>
      <c r="C1" s="348" t="s">
        <v>393</v>
      </c>
      <c r="D1" s="348" t="s">
        <v>394</v>
      </c>
    </row>
    <row r="2" spans="1:4" x14ac:dyDescent="0.25">
      <c r="A2" s="349" t="s">
        <v>395</v>
      </c>
      <c r="B2" s="349" t="s">
        <v>396</v>
      </c>
      <c r="C2" s="349" t="s">
        <v>397</v>
      </c>
      <c r="D2" s="342" t="s">
        <v>398</v>
      </c>
    </row>
    <row r="3" spans="1:4" x14ac:dyDescent="0.25">
      <c r="A3" s="350" t="s">
        <v>395</v>
      </c>
      <c r="B3" s="350" t="s">
        <v>399</v>
      </c>
      <c r="C3" s="350" t="s">
        <v>397</v>
      </c>
      <c r="D3" s="351" t="s">
        <v>398</v>
      </c>
    </row>
    <row r="4" spans="1:4" x14ac:dyDescent="0.25">
      <c r="A4" s="350" t="s">
        <v>395</v>
      </c>
      <c r="B4" s="350" t="s">
        <v>400</v>
      </c>
      <c r="C4" s="350" t="s">
        <v>397</v>
      </c>
      <c r="D4" s="351" t="s">
        <v>398</v>
      </c>
    </row>
    <row r="5" spans="1:4" x14ac:dyDescent="0.25">
      <c r="A5" s="350" t="s">
        <v>395</v>
      </c>
      <c r="B5" s="350" t="s">
        <v>401</v>
      </c>
      <c r="C5" s="350" t="s">
        <v>397</v>
      </c>
      <c r="D5" s="351" t="s">
        <v>398</v>
      </c>
    </row>
    <row r="6" spans="1:4" x14ac:dyDescent="0.25">
      <c r="A6" s="350" t="s">
        <v>395</v>
      </c>
      <c r="B6" s="350" t="s">
        <v>402</v>
      </c>
      <c r="C6" s="350" t="s">
        <v>397</v>
      </c>
      <c r="D6" s="344" t="s">
        <v>403</v>
      </c>
    </row>
    <row r="7" spans="1:4" x14ac:dyDescent="0.25">
      <c r="A7" s="350" t="s">
        <v>395</v>
      </c>
      <c r="B7" s="352" t="s">
        <v>404</v>
      </c>
      <c r="C7" s="350" t="s">
        <v>397</v>
      </c>
      <c r="D7" s="343" t="s">
        <v>405</v>
      </c>
    </row>
    <row r="8" spans="1:4" x14ac:dyDescent="0.25">
      <c r="A8" s="350" t="s">
        <v>395</v>
      </c>
      <c r="B8" s="350" t="s">
        <v>406</v>
      </c>
      <c r="C8" s="350" t="s">
        <v>397</v>
      </c>
      <c r="D8" s="351" t="s">
        <v>398</v>
      </c>
    </row>
    <row r="9" spans="1:4" x14ac:dyDescent="0.25">
      <c r="A9" s="350" t="s">
        <v>407</v>
      </c>
      <c r="B9" s="350" t="s">
        <v>408</v>
      </c>
      <c r="C9" s="350" t="s">
        <v>397</v>
      </c>
      <c r="D9" s="351" t="s">
        <v>398</v>
      </c>
    </row>
    <row r="10" spans="1:4" x14ac:dyDescent="0.25">
      <c r="A10" s="350" t="s">
        <v>407</v>
      </c>
      <c r="B10" s="350" t="s">
        <v>409</v>
      </c>
      <c r="C10" s="350" t="s">
        <v>397</v>
      </c>
      <c r="D10" s="351" t="s">
        <v>398</v>
      </c>
    </row>
    <row r="11" spans="1:4" x14ac:dyDescent="0.25">
      <c r="A11" s="350" t="s">
        <v>407</v>
      </c>
      <c r="B11" s="352" t="s">
        <v>410</v>
      </c>
      <c r="C11" s="350" t="s">
        <v>397</v>
      </c>
      <c r="D11" s="343" t="s">
        <v>405</v>
      </c>
    </row>
    <row r="12" spans="1:4" x14ac:dyDescent="0.25">
      <c r="A12" s="350" t="s">
        <v>407</v>
      </c>
      <c r="B12" s="352" t="s">
        <v>411</v>
      </c>
      <c r="C12" s="350" t="s">
        <v>397</v>
      </c>
      <c r="D12" s="343" t="s">
        <v>405</v>
      </c>
    </row>
    <row r="13" spans="1:4" x14ac:dyDescent="0.25">
      <c r="A13" s="350" t="s">
        <v>407</v>
      </c>
      <c r="B13" s="352" t="s">
        <v>412</v>
      </c>
      <c r="C13" s="350" t="s">
        <v>397</v>
      </c>
      <c r="D13" s="343" t="s">
        <v>405</v>
      </c>
    </row>
    <row r="14" spans="1:4" x14ac:dyDescent="0.25">
      <c r="A14" s="350" t="s">
        <v>407</v>
      </c>
      <c r="B14" s="350" t="s">
        <v>413</v>
      </c>
      <c r="C14" s="350" t="s">
        <v>397</v>
      </c>
      <c r="D14" s="351" t="s">
        <v>398</v>
      </c>
    </row>
    <row r="15" spans="1:4" x14ac:dyDescent="0.25">
      <c r="A15" s="350" t="s">
        <v>407</v>
      </c>
      <c r="B15" s="352" t="s">
        <v>414</v>
      </c>
      <c r="C15" s="350" t="s">
        <v>397</v>
      </c>
      <c r="D15" s="343" t="s">
        <v>405</v>
      </c>
    </row>
    <row r="16" spans="1:4" x14ac:dyDescent="0.25">
      <c r="A16" s="350" t="s">
        <v>407</v>
      </c>
      <c r="B16" s="350" t="s">
        <v>415</v>
      </c>
      <c r="C16" s="350" t="s">
        <v>397</v>
      </c>
      <c r="D16" s="351" t="s">
        <v>398</v>
      </c>
    </row>
    <row r="17" spans="1:4" x14ac:dyDescent="0.25">
      <c r="A17" s="350" t="s">
        <v>407</v>
      </c>
      <c r="B17" s="352" t="s">
        <v>416</v>
      </c>
      <c r="C17" s="350" t="s">
        <v>397</v>
      </c>
      <c r="D17" s="343" t="s">
        <v>405</v>
      </c>
    </row>
    <row r="18" spans="1:4" x14ac:dyDescent="0.25">
      <c r="A18" s="350" t="s">
        <v>407</v>
      </c>
      <c r="B18" s="352" t="s">
        <v>417</v>
      </c>
      <c r="C18" s="350" t="s">
        <v>397</v>
      </c>
      <c r="D18" s="343" t="s">
        <v>405</v>
      </c>
    </row>
    <row r="19" spans="1:4" x14ac:dyDescent="0.25">
      <c r="A19" s="350" t="s">
        <v>407</v>
      </c>
      <c r="B19" s="350" t="s">
        <v>418</v>
      </c>
      <c r="C19" s="350" t="s">
        <v>397</v>
      </c>
      <c r="D19" s="351" t="s">
        <v>398</v>
      </c>
    </row>
    <row r="20" spans="1:4" x14ac:dyDescent="0.25">
      <c r="A20" s="350" t="s">
        <v>407</v>
      </c>
      <c r="B20" s="350" t="s">
        <v>419</v>
      </c>
      <c r="C20" s="350" t="s">
        <v>397</v>
      </c>
      <c r="D20" s="351" t="s">
        <v>398</v>
      </c>
    </row>
    <row r="21" spans="1:4" x14ac:dyDescent="0.25">
      <c r="A21" s="350" t="s">
        <v>407</v>
      </c>
      <c r="B21" s="352" t="s">
        <v>420</v>
      </c>
      <c r="C21" s="350" t="s">
        <v>397</v>
      </c>
      <c r="D21" s="343" t="s">
        <v>405</v>
      </c>
    </row>
    <row r="22" spans="1:4" x14ac:dyDescent="0.25">
      <c r="A22" s="350" t="s">
        <v>407</v>
      </c>
      <c r="B22" s="350" t="s">
        <v>421</v>
      </c>
      <c r="C22" s="350" t="s">
        <v>397</v>
      </c>
      <c r="D22" s="351" t="s">
        <v>398</v>
      </c>
    </row>
    <row r="23" spans="1:4" x14ac:dyDescent="0.25">
      <c r="A23" s="350" t="s">
        <v>407</v>
      </c>
      <c r="B23" s="352" t="s">
        <v>422</v>
      </c>
      <c r="C23" s="350" t="s">
        <v>397</v>
      </c>
      <c r="D23" s="343" t="s">
        <v>405</v>
      </c>
    </row>
    <row r="24" spans="1:4" x14ac:dyDescent="0.25">
      <c r="A24" s="350" t="s">
        <v>407</v>
      </c>
      <c r="B24" s="352" t="s">
        <v>423</v>
      </c>
      <c r="C24" s="350" t="s">
        <v>397</v>
      </c>
      <c r="D24" s="343" t="s">
        <v>405</v>
      </c>
    </row>
    <row r="25" spans="1:4" x14ac:dyDescent="0.25">
      <c r="A25" s="350" t="s">
        <v>407</v>
      </c>
      <c r="B25" s="350" t="s">
        <v>424</v>
      </c>
      <c r="C25" s="350" t="s">
        <v>397</v>
      </c>
      <c r="D25" s="351" t="s">
        <v>398</v>
      </c>
    </row>
    <row r="26" spans="1:4" x14ac:dyDescent="0.25">
      <c r="A26" s="350" t="s">
        <v>407</v>
      </c>
      <c r="B26" s="350" t="s">
        <v>425</v>
      </c>
      <c r="C26" s="350" t="s">
        <v>397</v>
      </c>
      <c r="D26" s="351" t="s">
        <v>398</v>
      </c>
    </row>
    <row r="27" spans="1:4" x14ac:dyDescent="0.25">
      <c r="A27" s="350" t="s">
        <v>407</v>
      </c>
      <c r="B27" s="352" t="s">
        <v>426</v>
      </c>
      <c r="C27" s="350" t="s">
        <v>397</v>
      </c>
      <c r="D27" s="343" t="s">
        <v>405</v>
      </c>
    </row>
    <row r="28" spans="1:4" x14ac:dyDescent="0.25">
      <c r="A28" s="350" t="s">
        <v>407</v>
      </c>
      <c r="B28" s="350" t="s">
        <v>427</v>
      </c>
      <c r="C28" s="350" t="s">
        <v>397</v>
      </c>
      <c r="D28" s="351" t="s">
        <v>398</v>
      </c>
    </row>
    <row r="29" spans="1:4" x14ac:dyDescent="0.25">
      <c r="A29" s="350" t="s">
        <v>428</v>
      </c>
      <c r="B29" s="352" t="s">
        <v>429</v>
      </c>
      <c r="C29" s="350" t="s">
        <v>397</v>
      </c>
      <c r="D29" s="343" t="s">
        <v>405</v>
      </c>
    </row>
    <row r="30" spans="1:4" x14ac:dyDescent="0.25">
      <c r="A30" s="350" t="s">
        <v>428</v>
      </c>
      <c r="B30" s="350" t="s">
        <v>430</v>
      </c>
      <c r="C30" s="350" t="s">
        <v>397</v>
      </c>
      <c r="D30" s="351" t="s">
        <v>398</v>
      </c>
    </row>
    <row r="31" spans="1:4" x14ac:dyDescent="0.25">
      <c r="A31" s="350" t="s">
        <v>428</v>
      </c>
      <c r="B31" s="352" t="s">
        <v>431</v>
      </c>
      <c r="C31" s="350" t="s">
        <v>397</v>
      </c>
      <c r="D31" s="343" t="s">
        <v>405</v>
      </c>
    </row>
    <row r="32" spans="1:4" x14ac:dyDescent="0.25">
      <c r="A32" s="350" t="s">
        <v>428</v>
      </c>
      <c r="B32" s="350" t="s">
        <v>432</v>
      </c>
      <c r="C32" s="350" t="s">
        <v>397</v>
      </c>
      <c r="D32" s="351" t="s">
        <v>398</v>
      </c>
    </row>
    <row r="33" spans="1:4" x14ac:dyDescent="0.25">
      <c r="A33" s="350" t="s">
        <v>428</v>
      </c>
      <c r="B33" s="352" t="s">
        <v>433</v>
      </c>
      <c r="C33" s="350" t="s">
        <v>397</v>
      </c>
      <c r="D33" s="343" t="s">
        <v>405</v>
      </c>
    </row>
    <row r="34" spans="1:4" x14ac:dyDescent="0.25">
      <c r="A34" s="350" t="s">
        <v>428</v>
      </c>
      <c r="B34" s="352" t="s">
        <v>434</v>
      </c>
      <c r="C34" s="350" t="s">
        <v>397</v>
      </c>
      <c r="D34" s="343" t="s">
        <v>405</v>
      </c>
    </row>
    <row r="35" spans="1:4" x14ac:dyDescent="0.25">
      <c r="A35" s="350" t="s">
        <v>428</v>
      </c>
      <c r="B35" s="352" t="s">
        <v>435</v>
      </c>
      <c r="C35" s="350" t="s">
        <v>397</v>
      </c>
      <c r="D35" s="343" t="s">
        <v>405</v>
      </c>
    </row>
    <row r="36" spans="1:4" x14ac:dyDescent="0.25">
      <c r="A36" s="350" t="s">
        <v>436</v>
      </c>
      <c r="B36" s="352" t="s">
        <v>437</v>
      </c>
      <c r="C36" s="350" t="s">
        <v>397</v>
      </c>
      <c r="D36" s="343" t="s">
        <v>405</v>
      </c>
    </row>
    <row r="37" spans="1:4" x14ac:dyDescent="0.25">
      <c r="A37" s="350" t="s">
        <v>436</v>
      </c>
      <c r="B37" s="352" t="s">
        <v>438</v>
      </c>
      <c r="C37" s="350" t="s">
        <v>397</v>
      </c>
      <c r="D37" s="343" t="s">
        <v>405</v>
      </c>
    </row>
    <row r="38" spans="1:4" x14ac:dyDescent="0.25">
      <c r="A38" s="350" t="s">
        <v>436</v>
      </c>
      <c r="B38" s="350" t="s">
        <v>439</v>
      </c>
      <c r="C38" s="350" t="s">
        <v>397</v>
      </c>
      <c r="D38" s="344" t="s">
        <v>403</v>
      </c>
    </row>
    <row r="39" spans="1:4" x14ac:dyDescent="0.25">
      <c r="A39" s="350" t="s">
        <v>436</v>
      </c>
      <c r="B39" s="352" t="s">
        <v>440</v>
      </c>
      <c r="C39" s="350" t="s">
        <v>397</v>
      </c>
      <c r="D39" s="343" t="s">
        <v>405</v>
      </c>
    </row>
    <row r="40" spans="1:4" x14ac:dyDescent="0.25">
      <c r="A40" s="350" t="s">
        <v>436</v>
      </c>
      <c r="B40" s="352" t="s">
        <v>441</v>
      </c>
      <c r="C40" s="350" t="s">
        <v>397</v>
      </c>
      <c r="D40" s="343" t="s">
        <v>405</v>
      </c>
    </row>
    <row r="41" spans="1:4" x14ac:dyDescent="0.25">
      <c r="A41" s="350" t="s">
        <v>436</v>
      </c>
      <c r="B41" s="350" t="s">
        <v>442</v>
      </c>
      <c r="C41" s="350" t="s">
        <v>397</v>
      </c>
      <c r="D41" s="351" t="s">
        <v>398</v>
      </c>
    </row>
    <row r="42" spans="1:4" x14ac:dyDescent="0.25">
      <c r="A42" s="350" t="s">
        <v>436</v>
      </c>
      <c r="B42" s="350" t="s">
        <v>436</v>
      </c>
      <c r="C42" s="350" t="s">
        <v>397</v>
      </c>
      <c r="D42" s="351" t="s">
        <v>398</v>
      </c>
    </row>
    <row r="43" spans="1:4" x14ac:dyDescent="0.25">
      <c r="A43" s="350" t="s">
        <v>436</v>
      </c>
      <c r="B43" s="352" t="s">
        <v>443</v>
      </c>
      <c r="C43" s="350" t="s">
        <v>397</v>
      </c>
      <c r="D43" s="343" t="s">
        <v>405</v>
      </c>
    </row>
    <row r="44" spans="1:4" x14ac:dyDescent="0.25">
      <c r="A44" s="350" t="s">
        <v>444</v>
      </c>
      <c r="B44" s="350" t="s">
        <v>445</v>
      </c>
      <c r="C44" s="350" t="s">
        <v>397</v>
      </c>
      <c r="D44" s="351" t="s">
        <v>398</v>
      </c>
    </row>
    <row r="45" spans="1:4" x14ac:dyDescent="0.25">
      <c r="A45" s="350" t="s">
        <v>444</v>
      </c>
      <c r="B45" s="352" t="s">
        <v>446</v>
      </c>
      <c r="C45" s="350" t="s">
        <v>397</v>
      </c>
      <c r="D45" s="343" t="s">
        <v>405</v>
      </c>
    </row>
    <row r="46" spans="1:4" x14ac:dyDescent="0.25">
      <c r="A46" s="350" t="s">
        <v>444</v>
      </c>
      <c r="B46" s="350" t="s">
        <v>447</v>
      </c>
      <c r="C46" s="350" t="s">
        <v>397</v>
      </c>
      <c r="D46" s="351" t="s">
        <v>398</v>
      </c>
    </row>
    <row r="47" spans="1:4" x14ac:dyDescent="0.25">
      <c r="A47" s="350" t="s">
        <v>444</v>
      </c>
      <c r="B47" s="352" t="s">
        <v>448</v>
      </c>
      <c r="C47" s="350" t="s">
        <v>397</v>
      </c>
      <c r="D47" s="343" t="s">
        <v>405</v>
      </c>
    </row>
    <row r="48" spans="1:4" x14ac:dyDescent="0.25">
      <c r="A48" s="350" t="s">
        <v>444</v>
      </c>
      <c r="B48" s="352" t="s">
        <v>449</v>
      </c>
      <c r="C48" s="350" t="s">
        <v>397</v>
      </c>
      <c r="D48" s="343" t="s">
        <v>405</v>
      </c>
    </row>
    <row r="49" spans="1:4" x14ac:dyDescent="0.25">
      <c r="A49" s="350" t="s">
        <v>444</v>
      </c>
      <c r="B49" s="352" t="s">
        <v>450</v>
      </c>
      <c r="C49" s="350" t="s">
        <v>397</v>
      </c>
      <c r="D49" s="343" t="s">
        <v>405</v>
      </c>
    </row>
    <row r="50" spans="1:4" x14ac:dyDescent="0.25">
      <c r="A50" s="350" t="s">
        <v>444</v>
      </c>
      <c r="B50" s="352" t="s">
        <v>451</v>
      </c>
      <c r="C50" s="350" t="s">
        <v>397</v>
      </c>
      <c r="D50" s="343" t="s">
        <v>405</v>
      </c>
    </row>
    <row r="51" spans="1:4" x14ac:dyDescent="0.25">
      <c r="A51" s="350" t="s">
        <v>444</v>
      </c>
      <c r="B51" s="352" t="s">
        <v>452</v>
      </c>
      <c r="C51" s="350" t="s">
        <v>397</v>
      </c>
      <c r="D51" s="343" t="s">
        <v>405</v>
      </c>
    </row>
    <row r="52" spans="1:4" x14ac:dyDescent="0.25">
      <c r="A52" s="350" t="s">
        <v>444</v>
      </c>
      <c r="B52" s="352" t="s">
        <v>453</v>
      </c>
      <c r="C52" s="350" t="s">
        <v>397</v>
      </c>
      <c r="D52" s="343" t="s">
        <v>405</v>
      </c>
    </row>
    <row r="53" spans="1:4" x14ac:dyDescent="0.25">
      <c r="A53" s="350" t="s">
        <v>444</v>
      </c>
      <c r="B53" s="352" t="s">
        <v>454</v>
      </c>
      <c r="C53" s="350" t="s">
        <v>397</v>
      </c>
      <c r="D53" s="343" t="s">
        <v>405</v>
      </c>
    </row>
    <row r="54" spans="1:4" x14ac:dyDescent="0.25">
      <c r="A54" s="350" t="s">
        <v>444</v>
      </c>
      <c r="B54" s="352" t="s">
        <v>455</v>
      </c>
      <c r="C54" s="350" t="s">
        <v>397</v>
      </c>
      <c r="D54" s="343" t="s">
        <v>405</v>
      </c>
    </row>
    <row r="55" spans="1:4" x14ac:dyDescent="0.25">
      <c r="A55" s="350" t="s">
        <v>456</v>
      </c>
      <c r="B55" s="350" t="s">
        <v>456</v>
      </c>
      <c r="C55" s="350" t="s">
        <v>397</v>
      </c>
      <c r="D55" s="351" t="s">
        <v>398</v>
      </c>
    </row>
    <row r="56" spans="1:4" x14ac:dyDescent="0.25">
      <c r="A56" s="350" t="s">
        <v>456</v>
      </c>
      <c r="B56" s="350" t="s">
        <v>457</v>
      </c>
      <c r="C56" s="350" t="s">
        <v>397</v>
      </c>
      <c r="D56" s="351" t="s">
        <v>398</v>
      </c>
    </row>
    <row r="57" spans="1:4" x14ac:dyDescent="0.25">
      <c r="A57" s="350" t="s">
        <v>456</v>
      </c>
      <c r="B57" s="350" t="s">
        <v>458</v>
      </c>
      <c r="C57" s="350" t="s">
        <v>397</v>
      </c>
      <c r="D57" s="351" t="s">
        <v>398</v>
      </c>
    </row>
    <row r="58" spans="1:4" x14ac:dyDescent="0.25">
      <c r="A58" s="350" t="s">
        <v>456</v>
      </c>
      <c r="B58" s="350" t="s">
        <v>459</v>
      </c>
      <c r="C58" s="350" t="s">
        <v>397</v>
      </c>
      <c r="D58" s="351" t="s">
        <v>398</v>
      </c>
    </row>
    <row r="59" spans="1:4" x14ac:dyDescent="0.25">
      <c r="A59" s="350" t="s">
        <v>456</v>
      </c>
      <c r="B59" s="350" t="s">
        <v>460</v>
      </c>
      <c r="C59" s="350" t="s">
        <v>397</v>
      </c>
      <c r="D59" s="351" t="s">
        <v>398</v>
      </c>
    </row>
    <row r="60" spans="1:4" x14ac:dyDescent="0.25">
      <c r="A60" s="350" t="s">
        <v>456</v>
      </c>
      <c r="B60" s="352" t="s">
        <v>461</v>
      </c>
      <c r="C60" s="350" t="s">
        <v>397</v>
      </c>
      <c r="D60" s="343" t="s">
        <v>405</v>
      </c>
    </row>
    <row r="61" spans="1:4" x14ac:dyDescent="0.25">
      <c r="A61" s="350" t="s">
        <v>456</v>
      </c>
      <c r="B61" s="350" t="s">
        <v>462</v>
      </c>
      <c r="C61" s="350" t="s">
        <v>397</v>
      </c>
      <c r="D61" s="351" t="s">
        <v>398</v>
      </c>
    </row>
    <row r="62" spans="1:4" x14ac:dyDescent="0.25">
      <c r="A62" s="350" t="s">
        <v>456</v>
      </c>
      <c r="B62" s="352" t="s">
        <v>463</v>
      </c>
      <c r="C62" s="350" t="s">
        <v>397</v>
      </c>
      <c r="D62" s="343" t="s">
        <v>405</v>
      </c>
    </row>
    <row r="63" spans="1:4" x14ac:dyDescent="0.25">
      <c r="A63" s="350" t="s">
        <v>456</v>
      </c>
      <c r="B63" s="352" t="s">
        <v>464</v>
      </c>
      <c r="C63" s="350" t="s">
        <v>397</v>
      </c>
      <c r="D63" s="343" t="s">
        <v>405</v>
      </c>
    </row>
    <row r="64" spans="1:4" x14ac:dyDescent="0.25">
      <c r="A64" s="350" t="s">
        <v>456</v>
      </c>
      <c r="B64" s="350" t="s">
        <v>465</v>
      </c>
      <c r="C64" s="350" t="s">
        <v>397</v>
      </c>
      <c r="D64" s="351" t="s">
        <v>398</v>
      </c>
    </row>
    <row r="65" spans="1:4" x14ac:dyDescent="0.25">
      <c r="A65" s="350" t="s">
        <v>456</v>
      </c>
      <c r="B65" s="350" t="s">
        <v>466</v>
      </c>
      <c r="C65" s="350" t="s">
        <v>397</v>
      </c>
      <c r="D65" s="351" t="s">
        <v>398</v>
      </c>
    </row>
    <row r="66" spans="1:4" x14ac:dyDescent="0.25">
      <c r="A66" s="350" t="s">
        <v>456</v>
      </c>
      <c r="B66" s="350" t="s">
        <v>467</v>
      </c>
      <c r="C66" s="350" t="s">
        <v>397</v>
      </c>
      <c r="D66" s="351" t="s">
        <v>398</v>
      </c>
    </row>
    <row r="67" spans="1:4" x14ac:dyDescent="0.25">
      <c r="A67" s="350" t="s">
        <v>456</v>
      </c>
      <c r="B67" s="350" t="s">
        <v>468</v>
      </c>
      <c r="C67" s="350" t="s">
        <v>397</v>
      </c>
      <c r="D67" s="351" t="s">
        <v>398</v>
      </c>
    </row>
    <row r="68" spans="1:4" x14ac:dyDescent="0.25">
      <c r="A68" s="350" t="s">
        <v>469</v>
      </c>
      <c r="B68" s="350" t="s">
        <v>470</v>
      </c>
      <c r="C68" s="350" t="s">
        <v>397</v>
      </c>
      <c r="D68" s="345" t="s">
        <v>471</v>
      </c>
    </row>
    <row r="69" spans="1:4" x14ac:dyDescent="0.25">
      <c r="A69" s="349" t="s">
        <v>469</v>
      </c>
      <c r="B69" s="349" t="s">
        <v>472</v>
      </c>
      <c r="C69" s="349" t="s">
        <v>397</v>
      </c>
      <c r="D69" s="342" t="s">
        <v>398</v>
      </c>
    </row>
    <row r="70" spans="1:4" x14ac:dyDescent="0.25">
      <c r="A70" s="350" t="s">
        <v>469</v>
      </c>
      <c r="B70" s="352" t="s">
        <v>473</v>
      </c>
      <c r="C70" s="350" t="s">
        <v>397</v>
      </c>
      <c r="D70" s="351" t="s">
        <v>398</v>
      </c>
    </row>
    <row r="71" spans="1:4" x14ac:dyDescent="0.25">
      <c r="A71" s="350" t="s">
        <v>469</v>
      </c>
      <c r="B71" s="352" t="s">
        <v>474</v>
      </c>
      <c r="C71" s="350" t="s">
        <v>397</v>
      </c>
      <c r="D71" s="351" t="s">
        <v>398</v>
      </c>
    </row>
    <row r="72" spans="1:4" x14ac:dyDescent="0.25">
      <c r="A72" s="350" t="s">
        <v>469</v>
      </c>
      <c r="B72" s="352" t="s">
        <v>469</v>
      </c>
      <c r="C72" s="350" t="s">
        <v>397</v>
      </c>
      <c r="D72" s="351" t="s">
        <v>398</v>
      </c>
    </row>
    <row r="73" spans="1:4" x14ac:dyDescent="0.25">
      <c r="A73" s="350" t="s">
        <v>469</v>
      </c>
      <c r="B73" s="352" t="s">
        <v>475</v>
      </c>
      <c r="C73" s="350" t="s">
        <v>397</v>
      </c>
      <c r="D73" s="343" t="s">
        <v>405</v>
      </c>
    </row>
    <row r="74" spans="1:4" x14ac:dyDescent="0.25">
      <c r="A74" s="350" t="s">
        <v>469</v>
      </c>
      <c r="B74" s="352" t="s">
        <v>476</v>
      </c>
      <c r="C74" s="350" t="s">
        <v>397</v>
      </c>
      <c r="D74" s="343" t="s">
        <v>405</v>
      </c>
    </row>
    <row r="75" spans="1:4" x14ac:dyDescent="0.25">
      <c r="A75" s="350" t="s">
        <v>469</v>
      </c>
      <c r="B75" s="352" t="s">
        <v>477</v>
      </c>
      <c r="C75" s="350" t="s">
        <v>397</v>
      </c>
      <c r="D75" s="343" t="s">
        <v>405</v>
      </c>
    </row>
    <row r="76" spans="1:4" x14ac:dyDescent="0.25">
      <c r="A76" s="350" t="s">
        <v>469</v>
      </c>
      <c r="B76" s="352" t="s">
        <v>478</v>
      </c>
      <c r="C76" s="350" t="s">
        <v>397</v>
      </c>
      <c r="D76" s="343" t="s">
        <v>405</v>
      </c>
    </row>
    <row r="77" spans="1:4" x14ac:dyDescent="0.25">
      <c r="A77" s="350" t="s">
        <v>469</v>
      </c>
      <c r="B77" s="352" t="s">
        <v>479</v>
      </c>
      <c r="C77" s="350" t="s">
        <v>397</v>
      </c>
      <c r="D77" s="343" t="s">
        <v>405</v>
      </c>
    </row>
    <row r="78" spans="1:4" x14ac:dyDescent="0.25">
      <c r="A78" s="350" t="s">
        <v>469</v>
      </c>
      <c r="B78" s="352" t="s">
        <v>480</v>
      </c>
      <c r="C78" s="350" t="s">
        <v>397</v>
      </c>
      <c r="D78" s="343" t="s">
        <v>405</v>
      </c>
    </row>
    <row r="79" spans="1:4" x14ac:dyDescent="0.25">
      <c r="A79" s="350" t="s">
        <v>469</v>
      </c>
      <c r="B79" s="352" t="s">
        <v>481</v>
      </c>
      <c r="C79" s="350" t="s">
        <v>397</v>
      </c>
      <c r="D79" s="343" t="s">
        <v>405</v>
      </c>
    </row>
    <row r="80" spans="1:4" x14ac:dyDescent="0.25">
      <c r="A80" s="350" t="s">
        <v>469</v>
      </c>
      <c r="B80" s="352" t="s">
        <v>482</v>
      </c>
      <c r="C80" s="350" t="s">
        <v>397</v>
      </c>
      <c r="D80" s="343" t="s">
        <v>405</v>
      </c>
    </row>
    <row r="81" spans="1:4" x14ac:dyDescent="0.25">
      <c r="A81" s="350" t="s">
        <v>483</v>
      </c>
      <c r="B81" s="352" t="s">
        <v>484</v>
      </c>
      <c r="C81" s="350" t="s">
        <v>397</v>
      </c>
      <c r="D81" s="353" t="s">
        <v>398</v>
      </c>
    </row>
    <row r="82" spans="1:4" x14ac:dyDescent="0.25">
      <c r="A82" s="350" t="s">
        <v>483</v>
      </c>
      <c r="B82" s="352" t="s">
        <v>485</v>
      </c>
      <c r="C82" s="350" t="s">
        <v>397</v>
      </c>
      <c r="D82" s="351" t="s">
        <v>398</v>
      </c>
    </row>
    <row r="83" spans="1:4" x14ac:dyDescent="0.25">
      <c r="A83" s="350" t="s">
        <v>483</v>
      </c>
      <c r="B83" s="352" t="s">
        <v>486</v>
      </c>
      <c r="C83" s="350" t="s">
        <v>397</v>
      </c>
      <c r="D83" s="351" t="s">
        <v>398</v>
      </c>
    </row>
    <row r="84" spans="1:4" x14ac:dyDescent="0.25">
      <c r="A84" s="350" t="s">
        <v>483</v>
      </c>
      <c r="B84" s="350" t="s">
        <v>487</v>
      </c>
      <c r="C84" s="350" t="s">
        <v>397</v>
      </c>
      <c r="D84" s="351" t="s">
        <v>398</v>
      </c>
    </row>
    <row r="85" spans="1:4" x14ac:dyDescent="0.25">
      <c r="A85" s="350" t="s">
        <v>483</v>
      </c>
      <c r="B85" s="352" t="s">
        <v>488</v>
      </c>
      <c r="C85" s="350" t="s">
        <v>397</v>
      </c>
      <c r="D85" s="343" t="s">
        <v>405</v>
      </c>
    </row>
    <row r="86" spans="1:4" x14ac:dyDescent="0.25">
      <c r="A86" s="350" t="s">
        <v>483</v>
      </c>
      <c r="B86" s="352" t="s">
        <v>489</v>
      </c>
      <c r="C86" s="350" t="s">
        <v>397</v>
      </c>
      <c r="D86" s="343" t="s">
        <v>405</v>
      </c>
    </row>
    <row r="87" spans="1:4" x14ac:dyDescent="0.25">
      <c r="A87" s="350" t="s">
        <v>483</v>
      </c>
      <c r="B87" s="350" t="s">
        <v>483</v>
      </c>
      <c r="C87" s="350" t="s">
        <v>397</v>
      </c>
      <c r="D87" s="351" t="s">
        <v>398</v>
      </c>
    </row>
    <row r="88" spans="1:4" x14ac:dyDescent="0.25">
      <c r="A88" s="350" t="s">
        <v>490</v>
      </c>
      <c r="B88" s="350" t="s">
        <v>490</v>
      </c>
      <c r="C88" s="350" t="s">
        <v>397</v>
      </c>
      <c r="D88" s="351" t="s">
        <v>398</v>
      </c>
    </row>
    <row r="89" spans="1:4" x14ac:dyDescent="0.25">
      <c r="A89" s="350" t="s">
        <v>490</v>
      </c>
      <c r="B89" s="350" t="s">
        <v>491</v>
      </c>
      <c r="C89" s="350" t="s">
        <v>397</v>
      </c>
      <c r="D89" s="351" t="s">
        <v>398</v>
      </c>
    </row>
    <row r="90" spans="1:4" x14ac:dyDescent="0.25">
      <c r="A90" s="350" t="s">
        <v>490</v>
      </c>
      <c r="B90" s="350" t="s">
        <v>492</v>
      </c>
      <c r="C90" s="350" t="s">
        <v>397</v>
      </c>
      <c r="D90" s="353" t="s">
        <v>398</v>
      </c>
    </row>
    <row r="91" spans="1:4" x14ac:dyDescent="0.25">
      <c r="A91" s="350" t="s">
        <v>490</v>
      </c>
      <c r="B91" s="352" t="s">
        <v>493</v>
      </c>
      <c r="C91" s="350" t="s">
        <v>397</v>
      </c>
      <c r="D91" s="343" t="s">
        <v>405</v>
      </c>
    </row>
    <row r="92" spans="1:4" x14ac:dyDescent="0.25">
      <c r="A92" s="350" t="s">
        <v>490</v>
      </c>
      <c r="B92" s="352" t="s">
        <v>494</v>
      </c>
      <c r="C92" s="350" t="s">
        <v>397</v>
      </c>
      <c r="D92" s="343" t="s">
        <v>405</v>
      </c>
    </row>
    <row r="93" spans="1:4" x14ac:dyDescent="0.25">
      <c r="A93" s="350" t="s">
        <v>490</v>
      </c>
      <c r="B93" s="352" t="s">
        <v>495</v>
      </c>
      <c r="C93" s="350" t="s">
        <v>397</v>
      </c>
      <c r="D93" s="343" t="s">
        <v>405</v>
      </c>
    </row>
    <row r="94" spans="1:4" x14ac:dyDescent="0.25">
      <c r="A94" s="350" t="s">
        <v>490</v>
      </c>
      <c r="B94" s="352" t="s">
        <v>496</v>
      </c>
      <c r="C94" s="350" t="s">
        <v>397</v>
      </c>
      <c r="D94" s="343" t="s">
        <v>405</v>
      </c>
    </row>
    <row r="95" spans="1:4" x14ac:dyDescent="0.25">
      <c r="A95" s="350" t="s">
        <v>490</v>
      </c>
      <c r="B95" s="350" t="s">
        <v>497</v>
      </c>
      <c r="C95" s="350" t="s">
        <v>397</v>
      </c>
      <c r="D95" s="351" t="s">
        <v>398</v>
      </c>
    </row>
    <row r="96" spans="1:4" x14ac:dyDescent="0.25">
      <c r="A96" s="350" t="s">
        <v>490</v>
      </c>
      <c r="B96" s="352" t="s">
        <v>498</v>
      </c>
      <c r="C96" s="350" t="s">
        <v>397</v>
      </c>
      <c r="D96" s="343" t="s">
        <v>405</v>
      </c>
    </row>
    <row r="97" spans="1:4" x14ac:dyDescent="0.25">
      <c r="A97" s="350" t="s">
        <v>490</v>
      </c>
      <c r="B97" s="350" t="s">
        <v>499</v>
      </c>
      <c r="C97" s="350" t="s">
        <v>397</v>
      </c>
      <c r="D97" s="351" t="s">
        <v>398</v>
      </c>
    </row>
    <row r="98" spans="1:4" x14ac:dyDescent="0.25">
      <c r="A98" s="350" t="s">
        <v>490</v>
      </c>
      <c r="B98" s="350" t="s">
        <v>500</v>
      </c>
      <c r="C98" s="350" t="s">
        <v>397</v>
      </c>
      <c r="D98" s="351" t="s">
        <v>398</v>
      </c>
    </row>
    <row r="99" spans="1:4" x14ac:dyDescent="0.25">
      <c r="A99" s="350" t="s">
        <v>501</v>
      </c>
      <c r="B99" s="350" t="s">
        <v>502</v>
      </c>
      <c r="C99" s="350" t="s">
        <v>397</v>
      </c>
      <c r="D99" s="351" t="s">
        <v>398</v>
      </c>
    </row>
    <row r="100" spans="1:4" x14ac:dyDescent="0.25">
      <c r="A100" s="350" t="s">
        <v>501</v>
      </c>
      <c r="B100" s="350" t="s">
        <v>503</v>
      </c>
      <c r="C100" s="350" t="s">
        <v>397</v>
      </c>
      <c r="D100" s="351" t="s">
        <v>398</v>
      </c>
    </row>
    <row r="101" spans="1:4" x14ac:dyDescent="0.25">
      <c r="A101" s="350" t="s">
        <v>501</v>
      </c>
      <c r="B101" s="350" t="s">
        <v>501</v>
      </c>
      <c r="C101" s="350" t="s">
        <v>397</v>
      </c>
      <c r="D101" s="351" t="s">
        <v>398</v>
      </c>
    </row>
    <row r="102" spans="1:4" x14ac:dyDescent="0.25">
      <c r="A102" s="350" t="s">
        <v>501</v>
      </c>
      <c r="B102" s="352" t="s">
        <v>504</v>
      </c>
      <c r="C102" s="350" t="s">
        <v>397</v>
      </c>
      <c r="D102" s="343" t="s">
        <v>405</v>
      </c>
    </row>
    <row r="103" spans="1:4" x14ac:dyDescent="0.25">
      <c r="A103" s="350" t="s">
        <v>501</v>
      </c>
      <c r="B103" s="352" t="s">
        <v>505</v>
      </c>
      <c r="C103" s="350" t="s">
        <v>397</v>
      </c>
      <c r="D103" s="343" t="s">
        <v>405</v>
      </c>
    </row>
    <row r="104" spans="1:4" x14ac:dyDescent="0.25">
      <c r="A104" s="350" t="s">
        <v>506</v>
      </c>
      <c r="B104" s="350" t="s">
        <v>507</v>
      </c>
      <c r="C104" s="350" t="s">
        <v>397</v>
      </c>
      <c r="D104" s="351" t="s">
        <v>398</v>
      </c>
    </row>
    <row r="105" spans="1:4" x14ac:dyDescent="0.25">
      <c r="A105" s="350" t="s">
        <v>506</v>
      </c>
      <c r="B105" s="350" t="s">
        <v>508</v>
      </c>
      <c r="C105" s="350" t="s">
        <v>397</v>
      </c>
      <c r="D105" s="351" t="s">
        <v>398</v>
      </c>
    </row>
    <row r="106" spans="1:4" x14ac:dyDescent="0.25">
      <c r="A106" s="350" t="s">
        <v>506</v>
      </c>
      <c r="B106" s="350" t="s">
        <v>509</v>
      </c>
      <c r="C106" s="350" t="s">
        <v>397</v>
      </c>
      <c r="D106" s="351" t="s">
        <v>398</v>
      </c>
    </row>
    <row r="107" spans="1:4" x14ac:dyDescent="0.25">
      <c r="A107" s="350" t="s">
        <v>506</v>
      </c>
      <c r="B107" s="350" t="s">
        <v>510</v>
      </c>
      <c r="C107" s="350" t="s">
        <v>397</v>
      </c>
      <c r="D107" s="351" t="s">
        <v>398</v>
      </c>
    </row>
    <row r="108" spans="1:4" x14ac:dyDescent="0.25">
      <c r="A108" s="350" t="s">
        <v>506</v>
      </c>
      <c r="B108" s="352" t="s">
        <v>511</v>
      </c>
      <c r="C108" s="350" t="s">
        <v>397</v>
      </c>
      <c r="D108" s="343" t="s">
        <v>405</v>
      </c>
    </row>
    <row r="109" spans="1:4" x14ac:dyDescent="0.25">
      <c r="A109" s="350" t="s">
        <v>506</v>
      </c>
      <c r="B109" s="354" t="s">
        <v>512</v>
      </c>
      <c r="C109" s="350" t="s">
        <v>397</v>
      </c>
      <c r="D109" s="353" t="s">
        <v>398</v>
      </c>
    </row>
    <row r="110" spans="1:4" x14ac:dyDescent="0.25">
      <c r="A110" s="350" t="s">
        <v>506</v>
      </c>
      <c r="B110" s="352" t="s">
        <v>506</v>
      </c>
      <c r="C110" s="350" t="s">
        <v>397</v>
      </c>
      <c r="D110" s="343" t="s">
        <v>405</v>
      </c>
    </row>
    <row r="111" spans="1:4" x14ac:dyDescent="0.25">
      <c r="A111" s="350" t="s">
        <v>506</v>
      </c>
      <c r="B111" s="352" t="s">
        <v>513</v>
      </c>
      <c r="C111" s="350" t="s">
        <v>397</v>
      </c>
      <c r="D111" s="343" t="s">
        <v>405</v>
      </c>
    </row>
    <row r="112" spans="1:4" x14ac:dyDescent="0.25">
      <c r="A112" s="350" t="s">
        <v>506</v>
      </c>
      <c r="B112" s="352" t="s">
        <v>514</v>
      </c>
      <c r="C112" s="350" t="s">
        <v>397</v>
      </c>
      <c r="D112" s="343" t="s">
        <v>405</v>
      </c>
    </row>
    <row r="113" spans="1:4" x14ac:dyDescent="0.25">
      <c r="A113" s="350" t="s">
        <v>515</v>
      </c>
      <c r="B113" s="350" t="s">
        <v>516</v>
      </c>
      <c r="C113" s="350" t="s">
        <v>397</v>
      </c>
      <c r="D113" s="351" t="s">
        <v>398</v>
      </c>
    </row>
    <row r="114" spans="1:4" x14ac:dyDescent="0.25">
      <c r="A114" s="350" t="s">
        <v>515</v>
      </c>
      <c r="B114" s="350" t="s">
        <v>517</v>
      </c>
      <c r="C114" s="350" t="s">
        <v>397</v>
      </c>
      <c r="D114" s="351" t="s">
        <v>398</v>
      </c>
    </row>
    <row r="115" spans="1:4" x14ac:dyDescent="0.25">
      <c r="A115" s="350" t="s">
        <v>515</v>
      </c>
      <c r="B115" s="350" t="s">
        <v>518</v>
      </c>
      <c r="C115" s="350" t="s">
        <v>397</v>
      </c>
      <c r="D115" s="344" t="s">
        <v>403</v>
      </c>
    </row>
    <row r="116" spans="1:4" x14ac:dyDescent="0.25">
      <c r="A116" s="350" t="s">
        <v>515</v>
      </c>
      <c r="B116" s="350" t="s">
        <v>519</v>
      </c>
      <c r="C116" s="350" t="s">
        <v>397</v>
      </c>
      <c r="D116" s="351" t="s">
        <v>398</v>
      </c>
    </row>
    <row r="117" spans="1:4" x14ac:dyDescent="0.25">
      <c r="A117" s="350" t="s">
        <v>515</v>
      </c>
      <c r="B117" s="350" t="s">
        <v>520</v>
      </c>
      <c r="C117" s="350" t="s">
        <v>397</v>
      </c>
      <c r="D117" s="351" t="s">
        <v>398</v>
      </c>
    </row>
    <row r="118" spans="1:4" x14ac:dyDescent="0.25">
      <c r="A118" s="350" t="s">
        <v>515</v>
      </c>
      <c r="B118" s="352" t="s">
        <v>521</v>
      </c>
      <c r="C118" s="350" t="s">
        <v>397</v>
      </c>
      <c r="D118" s="343" t="s">
        <v>405</v>
      </c>
    </row>
    <row r="119" spans="1:4" x14ac:dyDescent="0.25">
      <c r="A119" s="350" t="s">
        <v>515</v>
      </c>
      <c r="B119" s="350" t="s">
        <v>522</v>
      </c>
      <c r="C119" s="350" t="s">
        <v>397</v>
      </c>
      <c r="D119" s="351" t="s">
        <v>398</v>
      </c>
    </row>
    <row r="120" spans="1:4" x14ac:dyDescent="0.25">
      <c r="A120" s="350" t="s">
        <v>515</v>
      </c>
      <c r="B120" s="352" t="s">
        <v>523</v>
      </c>
      <c r="C120" s="350" t="s">
        <v>397</v>
      </c>
      <c r="D120" s="343" t="s">
        <v>405</v>
      </c>
    </row>
    <row r="121" spans="1:4" x14ac:dyDescent="0.25">
      <c r="A121" s="350" t="s">
        <v>515</v>
      </c>
      <c r="B121" s="352" t="s">
        <v>524</v>
      </c>
      <c r="C121" s="350" t="s">
        <v>397</v>
      </c>
      <c r="D121" s="343" t="s">
        <v>405</v>
      </c>
    </row>
    <row r="122" spans="1:4" x14ac:dyDescent="0.25">
      <c r="A122" s="350" t="s">
        <v>515</v>
      </c>
      <c r="B122" s="352" t="s">
        <v>525</v>
      </c>
      <c r="C122" s="350" t="s">
        <v>397</v>
      </c>
      <c r="D122" s="343" t="s">
        <v>405</v>
      </c>
    </row>
    <row r="123" spans="1:4" x14ac:dyDescent="0.25">
      <c r="A123" s="350" t="s">
        <v>515</v>
      </c>
      <c r="B123" s="352" t="s">
        <v>526</v>
      </c>
      <c r="C123" s="350" t="s">
        <v>397</v>
      </c>
      <c r="D123" s="343" t="s">
        <v>405</v>
      </c>
    </row>
    <row r="124" spans="1:4" x14ac:dyDescent="0.25">
      <c r="A124" s="350" t="s">
        <v>515</v>
      </c>
      <c r="B124" s="350" t="s">
        <v>527</v>
      </c>
      <c r="C124" s="350" t="s">
        <v>397</v>
      </c>
      <c r="D124" s="351" t="s">
        <v>398</v>
      </c>
    </row>
    <row r="125" spans="1:4" x14ac:dyDescent="0.25">
      <c r="A125" s="350" t="s">
        <v>528</v>
      </c>
      <c r="B125" s="350" t="s">
        <v>529</v>
      </c>
      <c r="C125" s="350" t="s">
        <v>397</v>
      </c>
      <c r="D125" s="351" t="s">
        <v>398</v>
      </c>
    </row>
    <row r="126" spans="1:4" x14ac:dyDescent="0.25">
      <c r="A126" s="350" t="s">
        <v>528</v>
      </c>
      <c r="B126" s="352" t="s">
        <v>530</v>
      </c>
      <c r="C126" s="350" t="s">
        <v>397</v>
      </c>
      <c r="D126" s="343" t="s">
        <v>405</v>
      </c>
    </row>
    <row r="127" spans="1:4" x14ac:dyDescent="0.25">
      <c r="A127" s="350" t="s">
        <v>528</v>
      </c>
      <c r="B127" s="352" t="s">
        <v>528</v>
      </c>
      <c r="C127" s="350" t="s">
        <v>531</v>
      </c>
      <c r="D127" s="343" t="s">
        <v>405</v>
      </c>
    </row>
    <row r="128" spans="1:4" x14ac:dyDescent="0.25">
      <c r="A128" s="350" t="s">
        <v>532</v>
      </c>
      <c r="B128" s="350" t="s">
        <v>532</v>
      </c>
      <c r="C128" s="350" t="s">
        <v>397</v>
      </c>
      <c r="D128" s="351" t="s">
        <v>398</v>
      </c>
    </row>
    <row r="129" spans="1:4" x14ac:dyDescent="0.25">
      <c r="A129" s="350" t="s">
        <v>532</v>
      </c>
      <c r="B129" s="350" t="s">
        <v>533</v>
      </c>
      <c r="C129" s="350" t="s">
        <v>397</v>
      </c>
      <c r="D129" s="351" t="s">
        <v>398</v>
      </c>
    </row>
    <row r="130" spans="1:4" x14ac:dyDescent="0.25">
      <c r="A130" s="350" t="s">
        <v>532</v>
      </c>
      <c r="B130" s="350" t="s">
        <v>534</v>
      </c>
      <c r="C130" s="350" t="s">
        <v>397</v>
      </c>
      <c r="D130" s="351" t="s">
        <v>398</v>
      </c>
    </row>
    <row r="131" spans="1:4" x14ac:dyDescent="0.25">
      <c r="A131" s="350" t="s">
        <v>532</v>
      </c>
      <c r="B131" s="350" t="s">
        <v>535</v>
      </c>
      <c r="C131" s="350" t="s">
        <v>397</v>
      </c>
      <c r="D131" s="351" t="s">
        <v>398</v>
      </c>
    </row>
    <row r="132" spans="1:4" x14ac:dyDescent="0.25">
      <c r="A132" s="350" t="s">
        <v>532</v>
      </c>
      <c r="B132" s="350" t="s">
        <v>536</v>
      </c>
      <c r="C132" s="350" t="s">
        <v>397</v>
      </c>
      <c r="D132" s="351" t="s">
        <v>398</v>
      </c>
    </row>
    <row r="133" spans="1:4" x14ac:dyDescent="0.25">
      <c r="A133" s="350" t="s">
        <v>532</v>
      </c>
      <c r="B133" s="350" t="s">
        <v>537</v>
      </c>
      <c r="C133" s="350" t="s">
        <v>397</v>
      </c>
      <c r="D133" s="351" t="s">
        <v>398</v>
      </c>
    </row>
    <row r="134" spans="1:4" x14ac:dyDescent="0.25">
      <c r="A134" s="350" t="s">
        <v>532</v>
      </c>
      <c r="B134" s="350" t="s">
        <v>538</v>
      </c>
      <c r="C134" s="350" t="s">
        <v>397</v>
      </c>
      <c r="D134" s="351" t="s">
        <v>398</v>
      </c>
    </row>
    <row r="135" spans="1:4" x14ac:dyDescent="0.25">
      <c r="A135" s="350" t="s">
        <v>532</v>
      </c>
      <c r="B135" s="350" t="s">
        <v>539</v>
      </c>
      <c r="C135" s="350" t="s">
        <v>397</v>
      </c>
      <c r="D135" s="351" t="s">
        <v>398</v>
      </c>
    </row>
    <row r="136" spans="1:4" x14ac:dyDescent="0.25">
      <c r="A136" s="350" t="s">
        <v>532</v>
      </c>
      <c r="B136" s="352" t="s">
        <v>540</v>
      </c>
      <c r="C136" s="350" t="s">
        <v>397</v>
      </c>
      <c r="D136" s="343" t="s">
        <v>405</v>
      </c>
    </row>
    <row r="137" spans="1:4" x14ac:dyDescent="0.25">
      <c r="A137" s="350" t="s">
        <v>532</v>
      </c>
      <c r="B137" s="352" t="s">
        <v>541</v>
      </c>
      <c r="C137" s="350" t="s">
        <v>397</v>
      </c>
      <c r="D137" s="343" t="s">
        <v>405</v>
      </c>
    </row>
    <row r="138" spans="1:4" x14ac:dyDescent="0.25">
      <c r="A138" s="350" t="s">
        <v>542</v>
      </c>
      <c r="B138" s="350" t="s">
        <v>397</v>
      </c>
      <c r="C138" s="350" t="s">
        <v>397</v>
      </c>
      <c r="D138" s="344" t="s">
        <v>403</v>
      </c>
    </row>
    <row r="139" spans="1:4" x14ac:dyDescent="0.25">
      <c r="A139" s="350" t="s">
        <v>543</v>
      </c>
      <c r="B139" s="350" t="s">
        <v>544</v>
      </c>
      <c r="C139" s="350" t="s">
        <v>397</v>
      </c>
      <c r="D139" s="345" t="s">
        <v>471</v>
      </c>
    </row>
    <row r="140" spans="1:4" x14ac:dyDescent="0.25">
      <c r="A140" s="350" t="s">
        <v>543</v>
      </c>
      <c r="B140" s="350" t="s">
        <v>545</v>
      </c>
      <c r="C140" s="350" t="s">
        <v>397</v>
      </c>
      <c r="D140" s="345" t="s">
        <v>471</v>
      </c>
    </row>
    <row r="141" spans="1:4" x14ac:dyDescent="0.25">
      <c r="A141" s="350" t="s">
        <v>543</v>
      </c>
      <c r="B141" s="350" t="s">
        <v>546</v>
      </c>
      <c r="C141" s="350" t="s">
        <v>397</v>
      </c>
      <c r="D141" s="345" t="s">
        <v>471</v>
      </c>
    </row>
    <row r="142" spans="1:4" x14ac:dyDescent="0.25">
      <c r="A142" s="349" t="s">
        <v>547</v>
      </c>
      <c r="B142" s="349" t="s">
        <v>548</v>
      </c>
      <c r="C142" s="349" t="s">
        <v>397</v>
      </c>
      <c r="D142" s="355" t="s">
        <v>398</v>
      </c>
    </row>
    <row r="143" spans="1:4" x14ac:dyDescent="0.25">
      <c r="A143" s="350" t="s">
        <v>547</v>
      </c>
      <c r="B143" s="350" t="s">
        <v>549</v>
      </c>
      <c r="C143" s="350" t="s">
        <v>397</v>
      </c>
      <c r="D143" s="351" t="s">
        <v>398</v>
      </c>
    </row>
    <row r="144" spans="1:4" x14ac:dyDescent="0.25">
      <c r="A144" s="350" t="s">
        <v>547</v>
      </c>
      <c r="B144" s="350" t="s">
        <v>550</v>
      </c>
      <c r="C144" s="350" t="s">
        <v>397</v>
      </c>
      <c r="D144" s="351" t="s">
        <v>398</v>
      </c>
    </row>
    <row r="145" spans="1:4" x14ac:dyDescent="0.25">
      <c r="A145" s="350" t="s">
        <v>551</v>
      </c>
      <c r="B145" s="350" t="s">
        <v>551</v>
      </c>
      <c r="C145" s="350" t="s">
        <v>397</v>
      </c>
      <c r="D145" s="351" t="s">
        <v>398</v>
      </c>
    </row>
    <row r="146" spans="1:4" x14ac:dyDescent="0.25">
      <c r="A146" s="350" t="s">
        <v>551</v>
      </c>
      <c r="B146" s="352" t="s">
        <v>552</v>
      </c>
      <c r="C146" s="350" t="s">
        <v>397</v>
      </c>
      <c r="D146" s="343" t="s">
        <v>405</v>
      </c>
    </row>
    <row r="147" spans="1:4" x14ac:dyDescent="0.25">
      <c r="A147" s="350" t="s">
        <v>551</v>
      </c>
      <c r="B147" s="352" t="s">
        <v>553</v>
      </c>
      <c r="C147" s="350" t="s">
        <v>397</v>
      </c>
      <c r="D147" s="343" t="s">
        <v>405</v>
      </c>
    </row>
    <row r="148" spans="1:4" x14ac:dyDescent="0.25">
      <c r="A148" s="350" t="s">
        <v>554</v>
      </c>
      <c r="B148" s="350" t="s">
        <v>554</v>
      </c>
      <c r="C148" s="350" t="s">
        <v>397</v>
      </c>
      <c r="D148" s="351" t="s">
        <v>398</v>
      </c>
    </row>
    <row r="149" spans="1:4" x14ac:dyDescent="0.25">
      <c r="A149" s="350" t="s">
        <v>554</v>
      </c>
      <c r="B149" s="352" t="s">
        <v>555</v>
      </c>
      <c r="C149" s="350" t="s">
        <v>397</v>
      </c>
      <c r="D149" s="343" t="s">
        <v>405</v>
      </c>
    </row>
    <row r="150" spans="1:4" x14ac:dyDescent="0.25">
      <c r="A150" s="350" t="s">
        <v>554</v>
      </c>
      <c r="B150" s="352" t="s">
        <v>556</v>
      </c>
      <c r="C150" s="350" t="s">
        <v>397</v>
      </c>
      <c r="D150" s="343" t="s">
        <v>405</v>
      </c>
    </row>
    <row r="151" spans="1:4" x14ac:dyDescent="0.25">
      <c r="A151" s="350" t="s">
        <v>554</v>
      </c>
      <c r="B151" s="350" t="s">
        <v>557</v>
      </c>
      <c r="C151" s="350" t="s">
        <v>397</v>
      </c>
      <c r="D151" s="351" t="s">
        <v>398</v>
      </c>
    </row>
    <row r="152" spans="1:4" x14ac:dyDescent="0.25">
      <c r="A152" s="350" t="s">
        <v>554</v>
      </c>
      <c r="B152" s="350" t="s">
        <v>558</v>
      </c>
      <c r="C152" s="350" t="s">
        <v>397</v>
      </c>
      <c r="D152" s="351" t="s">
        <v>398</v>
      </c>
    </row>
    <row r="153" spans="1:4" x14ac:dyDescent="0.25">
      <c r="A153" s="350" t="s">
        <v>554</v>
      </c>
      <c r="B153" s="350" t="s">
        <v>559</v>
      </c>
      <c r="C153" s="350" t="s">
        <v>397</v>
      </c>
      <c r="D153" s="351" t="s">
        <v>398</v>
      </c>
    </row>
    <row r="154" spans="1:4" x14ac:dyDescent="0.25">
      <c r="A154" s="350" t="s">
        <v>554</v>
      </c>
      <c r="B154" s="350" t="s">
        <v>560</v>
      </c>
      <c r="C154" s="350" t="s">
        <v>397</v>
      </c>
      <c r="D154" s="351" t="s">
        <v>398</v>
      </c>
    </row>
    <row r="155" spans="1:4" x14ac:dyDescent="0.25">
      <c r="A155" s="350" t="s">
        <v>554</v>
      </c>
      <c r="B155" s="350" t="s">
        <v>561</v>
      </c>
      <c r="C155" s="350" t="s">
        <v>397</v>
      </c>
      <c r="D155" s="351" t="s">
        <v>398</v>
      </c>
    </row>
    <row r="156" spans="1:4" x14ac:dyDescent="0.25">
      <c r="A156" s="350" t="s">
        <v>562</v>
      </c>
      <c r="B156" s="350" t="s">
        <v>563</v>
      </c>
      <c r="C156" s="350" t="s">
        <v>397</v>
      </c>
      <c r="D156" s="344" t="s">
        <v>403</v>
      </c>
    </row>
    <row r="157" spans="1:4" x14ac:dyDescent="0.25">
      <c r="A157" s="350" t="s">
        <v>562</v>
      </c>
      <c r="B157" s="352" t="s">
        <v>564</v>
      </c>
      <c r="C157" s="350" t="s">
        <v>397</v>
      </c>
      <c r="D157" s="343" t="s">
        <v>405</v>
      </c>
    </row>
    <row r="158" spans="1:4" x14ac:dyDescent="0.25">
      <c r="A158" s="350" t="s">
        <v>562</v>
      </c>
      <c r="B158" s="352" t="s">
        <v>565</v>
      </c>
      <c r="C158" s="350" t="s">
        <v>397</v>
      </c>
      <c r="D158" s="343" t="s">
        <v>405</v>
      </c>
    </row>
    <row r="159" spans="1:4" x14ac:dyDescent="0.25">
      <c r="A159" s="350" t="s">
        <v>562</v>
      </c>
      <c r="B159" s="352" t="s">
        <v>566</v>
      </c>
      <c r="C159" s="350" t="s">
        <v>397</v>
      </c>
      <c r="D159" s="343" t="s">
        <v>405</v>
      </c>
    </row>
    <row r="160" spans="1:4" x14ac:dyDescent="0.25">
      <c r="A160" s="350" t="s">
        <v>562</v>
      </c>
      <c r="B160" s="352" t="s">
        <v>567</v>
      </c>
      <c r="C160" s="350" t="s">
        <v>397</v>
      </c>
      <c r="D160" s="343" t="s">
        <v>405</v>
      </c>
    </row>
    <row r="161" spans="1:4" x14ac:dyDescent="0.25">
      <c r="A161" s="350" t="s">
        <v>562</v>
      </c>
      <c r="B161" s="350" t="s">
        <v>568</v>
      </c>
      <c r="C161" s="350" t="s">
        <v>397</v>
      </c>
      <c r="D161" s="351" t="s">
        <v>398</v>
      </c>
    </row>
    <row r="162" spans="1:4" x14ac:dyDescent="0.25">
      <c r="A162" s="350" t="s">
        <v>562</v>
      </c>
      <c r="B162" s="352" t="s">
        <v>569</v>
      </c>
      <c r="C162" s="350" t="s">
        <v>397</v>
      </c>
      <c r="D162" s="343" t="s">
        <v>405</v>
      </c>
    </row>
    <row r="163" spans="1:4" x14ac:dyDescent="0.25">
      <c r="A163" s="350" t="s">
        <v>562</v>
      </c>
      <c r="B163" s="352" t="s">
        <v>570</v>
      </c>
      <c r="C163" s="350" t="s">
        <v>397</v>
      </c>
      <c r="D163" s="343" t="s">
        <v>405</v>
      </c>
    </row>
    <row r="164" spans="1:4" x14ac:dyDescent="0.25">
      <c r="A164" s="350" t="s">
        <v>562</v>
      </c>
      <c r="B164" s="352" t="s">
        <v>571</v>
      </c>
      <c r="C164" s="350" t="s">
        <v>397</v>
      </c>
      <c r="D164" s="344" t="s">
        <v>403</v>
      </c>
    </row>
    <row r="165" spans="1:4" x14ac:dyDescent="0.25">
      <c r="A165" s="350" t="s">
        <v>562</v>
      </c>
      <c r="B165" s="350" t="s">
        <v>562</v>
      </c>
      <c r="C165" s="350" t="s">
        <v>397</v>
      </c>
      <c r="D165" s="351" t="s">
        <v>398</v>
      </c>
    </row>
    <row r="166" spans="1:4" x14ac:dyDescent="0.25">
      <c r="A166" s="350" t="s">
        <v>562</v>
      </c>
      <c r="B166" s="352" t="s">
        <v>572</v>
      </c>
      <c r="C166" s="350" t="s">
        <v>397</v>
      </c>
      <c r="D166" s="343" t="s">
        <v>405</v>
      </c>
    </row>
    <row r="167" spans="1:4" x14ac:dyDescent="0.25">
      <c r="A167" s="350" t="s">
        <v>562</v>
      </c>
      <c r="B167" s="352" t="s">
        <v>573</v>
      </c>
      <c r="C167" s="350" t="s">
        <v>397</v>
      </c>
      <c r="D167" s="343" t="s">
        <v>405</v>
      </c>
    </row>
    <row r="168" spans="1:4" x14ac:dyDescent="0.25">
      <c r="A168" s="350" t="s">
        <v>562</v>
      </c>
      <c r="B168" s="352" t="s">
        <v>574</v>
      </c>
      <c r="C168" s="350" t="s">
        <v>397</v>
      </c>
      <c r="D168" s="343" t="s">
        <v>405</v>
      </c>
    </row>
    <row r="169" spans="1:4" x14ac:dyDescent="0.25">
      <c r="A169" s="350" t="s">
        <v>575</v>
      </c>
      <c r="B169" s="352" t="s">
        <v>576</v>
      </c>
      <c r="C169" s="350" t="s">
        <v>397</v>
      </c>
      <c r="D169" s="343" t="s">
        <v>405</v>
      </c>
    </row>
    <row r="170" spans="1:4" x14ac:dyDescent="0.25">
      <c r="A170" s="350" t="s">
        <v>575</v>
      </c>
      <c r="B170" s="350" t="s">
        <v>577</v>
      </c>
      <c r="C170" s="350" t="s">
        <v>397</v>
      </c>
      <c r="D170" s="344" t="s">
        <v>403</v>
      </c>
    </row>
    <row r="171" spans="1:4" x14ac:dyDescent="0.25">
      <c r="A171" s="350" t="s">
        <v>575</v>
      </c>
      <c r="B171" s="352" t="s">
        <v>578</v>
      </c>
      <c r="C171" s="350" t="s">
        <v>397</v>
      </c>
      <c r="D171" s="343" t="s">
        <v>405</v>
      </c>
    </row>
    <row r="172" spans="1:4" x14ac:dyDescent="0.25">
      <c r="A172" s="350" t="s">
        <v>575</v>
      </c>
      <c r="B172" s="350" t="s">
        <v>579</v>
      </c>
      <c r="C172" s="350" t="s">
        <v>397</v>
      </c>
      <c r="D172" s="344" t="s">
        <v>403</v>
      </c>
    </row>
    <row r="173" spans="1:4" x14ac:dyDescent="0.25">
      <c r="A173" s="350" t="s">
        <v>575</v>
      </c>
      <c r="B173" s="352" t="s">
        <v>580</v>
      </c>
      <c r="C173" s="350" t="s">
        <v>397</v>
      </c>
      <c r="D173" s="343" t="s">
        <v>405</v>
      </c>
    </row>
    <row r="174" spans="1:4" x14ac:dyDescent="0.25">
      <c r="A174" s="350" t="s">
        <v>575</v>
      </c>
      <c r="B174" s="350" t="s">
        <v>581</v>
      </c>
      <c r="C174" s="350" t="s">
        <v>397</v>
      </c>
      <c r="D174" s="344" t="s">
        <v>403</v>
      </c>
    </row>
    <row r="175" spans="1:4" x14ac:dyDescent="0.25">
      <c r="A175" s="350" t="s">
        <v>575</v>
      </c>
      <c r="B175" s="352" t="s">
        <v>582</v>
      </c>
      <c r="C175" s="350" t="s">
        <v>397</v>
      </c>
      <c r="D175" s="343" t="s">
        <v>405</v>
      </c>
    </row>
    <row r="176" spans="1:4" x14ac:dyDescent="0.25">
      <c r="A176" s="350" t="s">
        <v>575</v>
      </c>
      <c r="B176" s="352" t="s">
        <v>583</v>
      </c>
      <c r="C176" s="350" t="s">
        <v>397</v>
      </c>
      <c r="D176" s="343" t="s">
        <v>405</v>
      </c>
    </row>
    <row r="177" spans="1:4" x14ac:dyDescent="0.25">
      <c r="A177" s="350" t="s">
        <v>575</v>
      </c>
      <c r="B177" s="350" t="s">
        <v>575</v>
      </c>
      <c r="C177" s="350" t="s">
        <v>397</v>
      </c>
      <c r="D177" s="351" t="s">
        <v>398</v>
      </c>
    </row>
    <row r="178" spans="1:4" x14ac:dyDescent="0.25">
      <c r="A178" s="350" t="s">
        <v>575</v>
      </c>
      <c r="B178" s="350" t="s">
        <v>584</v>
      </c>
      <c r="C178" s="350" t="s">
        <v>397</v>
      </c>
      <c r="D178" s="344" t="s">
        <v>403</v>
      </c>
    </row>
    <row r="179" spans="1:4" x14ac:dyDescent="0.25">
      <c r="A179" s="350" t="s">
        <v>585</v>
      </c>
      <c r="B179" s="350" t="s">
        <v>586</v>
      </c>
      <c r="C179" s="350" t="s">
        <v>397</v>
      </c>
      <c r="D179" s="351" t="s">
        <v>398</v>
      </c>
    </row>
    <row r="180" spans="1:4" x14ac:dyDescent="0.25">
      <c r="A180" s="350" t="s">
        <v>585</v>
      </c>
      <c r="B180" s="352" t="s">
        <v>587</v>
      </c>
      <c r="C180" s="350" t="s">
        <v>397</v>
      </c>
      <c r="D180" s="343" t="s">
        <v>405</v>
      </c>
    </row>
    <row r="181" spans="1:4" x14ac:dyDescent="0.25">
      <c r="A181" s="350" t="s">
        <v>585</v>
      </c>
      <c r="B181" s="350" t="s">
        <v>588</v>
      </c>
      <c r="C181" s="350" t="s">
        <v>397</v>
      </c>
      <c r="D181" s="353" t="s">
        <v>398</v>
      </c>
    </row>
    <row r="182" spans="1:4" x14ac:dyDescent="0.25">
      <c r="A182" s="350" t="s">
        <v>585</v>
      </c>
      <c r="B182" s="350" t="s">
        <v>585</v>
      </c>
      <c r="C182" s="350" t="s">
        <v>397</v>
      </c>
      <c r="D182" s="351" t="s">
        <v>398</v>
      </c>
    </row>
    <row r="183" spans="1:4" x14ac:dyDescent="0.25">
      <c r="A183" s="350" t="s">
        <v>589</v>
      </c>
      <c r="B183" s="350" t="s">
        <v>590</v>
      </c>
      <c r="C183" s="350" t="s">
        <v>397</v>
      </c>
      <c r="D183" s="344" t="s">
        <v>403</v>
      </c>
    </row>
    <row r="184" spans="1:4" x14ac:dyDescent="0.25">
      <c r="A184" s="356" t="s">
        <v>589</v>
      </c>
      <c r="B184" s="356" t="s">
        <v>591</v>
      </c>
      <c r="C184" s="350" t="s">
        <v>397</v>
      </c>
      <c r="D184" s="357" t="s">
        <v>403</v>
      </c>
    </row>
    <row r="185" spans="1:4" x14ac:dyDescent="0.25">
      <c r="A185" s="356" t="s">
        <v>589</v>
      </c>
      <c r="B185" s="356" t="s">
        <v>592</v>
      </c>
      <c r="C185" s="350" t="s">
        <v>397</v>
      </c>
      <c r="D185" s="357" t="s">
        <v>403</v>
      </c>
    </row>
    <row r="186" spans="1:4" x14ac:dyDescent="0.25">
      <c r="A186" s="350" t="s">
        <v>589</v>
      </c>
      <c r="B186" s="350" t="s">
        <v>593</v>
      </c>
      <c r="C186" s="350" t="s">
        <v>397</v>
      </c>
      <c r="D186" s="345" t="s">
        <v>471</v>
      </c>
    </row>
    <row r="187" spans="1:4" x14ac:dyDescent="0.25">
      <c r="A187" s="350" t="s">
        <v>395</v>
      </c>
      <c r="B187" s="350" t="s">
        <v>396</v>
      </c>
      <c r="C187" s="350" t="s">
        <v>594</v>
      </c>
      <c r="D187" s="345" t="s">
        <v>471</v>
      </c>
    </row>
    <row r="188" spans="1:4" x14ac:dyDescent="0.25">
      <c r="A188" s="350" t="s">
        <v>395</v>
      </c>
      <c r="B188" s="350" t="s">
        <v>396</v>
      </c>
      <c r="C188" s="350" t="s">
        <v>595</v>
      </c>
      <c r="D188" s="345" t="s">
        <v>471</v>
      </c>
    </row>
    <row r="189" spans="1:4" x14ac:dyDescent="0.25">
      <c r="A189" s="350" t="s">
        <v>395</v>
      </c>
      <c r="B189" s="350" t="s">
        <v>402</v>
      </c>
      <c r="C189" s="350" t="s">
        <v>596</v>
      </c>
      <c r="D189" s="345" t="s">
        <v>471</v>
      </c>
    </row>
    <row r="190" spans="1:4" x14ac:dyDescent="0.25">
      <c r="A190" s="350" t="s">
        <v>575</v>
      </c>
      <c r="B190" s="350" t="s">
        <v>579</v>
      </c>
      <c r="C190" s="350" t="s">
        <v>597</v>
      </c>
      <c r="D190" s="345" t="s">
        <v>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463D-576A-40B8-8576-E920F5838937}">
  <dimension ref="B2:G16"/>
  <sheetViews>
    <sheetView workbookViewId="0">
      <selection activeCell="H16" sqref="H16"/>
    </sheetView>
  </sheetViews>
  <sheetFormatPr baseColWidth="10" defaultColWidth="8.85546875" defaultRowHeight="15" x14ac:dyDescent="0.25"/>
  <cols>
    <col min="2" max="2" width="17.140625" customWidth="1"/>
    <col min="3" max="3" width="15.28515625" customWidth="1"/>
    <col min="4" max="4" width="10.7109375" customWidth="1"/>
    <col min="5" max="5" width="11.5703125" customWidth="1"/>
    <col min="6" max="6" width="12" customWidth="1"/>
    <col min="7" max="8" width="10.7109375" customWidth="1"/>
  </cols>
  <sheetData>
    <row r="2" spans="2:7" x14ac:dyDescent="0.25">
      <c r="B2" t="s">
        <v>610</v>
      </c>
      <c r="C2" t="s">
        <v>611</v>
      </c>
    </row>
    <row r="3" spans="2:7" x14ac:dyDescent="0.25">
      <c r="B3" t="s">
        <v>612</v>
      </c>
      <c r="C3" t="s">
        <v>599</v>
      </c>
      <c r="D3" t="s">
        <v>601</v>
      </c>
      <c r="E3" t="s">
        <v>609</v>
      </c>
      <c r="F3" t="s">
        <v>603</v>
      </c>
      <c r="G3" t="s">
        <v>276</v>
      </c>
    </row>
    <row r="4" spans="2:7" x14ac:dyDescent="0.25">
      <c r="B4" s="115" t="s">
        <v>598</v>
      </c>
      <c r="C4">
        <v>4</v>
      </c>
      <c r="G4">
        <v>4</v>
      </c>
    </row>
    <row r="5" spans="2:7" x14ac:dyDescent="0.25">
      <c r="B5" s="115" t="s">
        <v>600</v>
      </c>
      <c r="D5">
        <v>6</v>
      </c>
      <c r="G5">
        <v>6</v>
      </c>
    </row>
    <row r="6" spans="2:7" x14ac:dyDescent="0.25">
      <c r="B6" s="115" t="s">
        <v>608</v>
      </c>
      <c r="E6">
        <v>1</v>
      </c>
      <c r="G6">
        <v>1</v>
      </c>
    </row>
    <row r="7" spans="2:7" x14ac:dyDescent="0.25">
      <c r="B7" s="115" t="s">
        <v>602</v>
      </c>
      <c r="F7">
        <v>4</v>
      </c>
      <c r="G7">
        <v>4</v>
      </c>
    </row>
    <row r="8" spans="2:7" x14ac:dyDescent="0.25">
      <c r="B8" s="115" t="s">
        <v>604</v>
      </c>
      <c r="C8">
        <v>4</v>
      </c>
      <c r="G8">
        <v>4</v>
      </c>
    </row>
    <row r="9" spans="2:7" x14ac:dyDescent="0.25">
      <c r="B9" s="115" t="s">
        <v>605</v>
      </c>
      <c r="C9">
        <v>4</v>
      </c>
      <c r="G9">
        <v>4</v>
      </c>
    </row>
    <row r="10" spans="2:7" x14ac:dyDescent="0.25">
      <c r="B10" s="115" t="s">
        <v>606</v>
      </c>
      <c r="C10">
        <v>4</v>
      </c>
      <c r="G10">
        <v>4</v>
      </c>
    </row>
    <row r="11" spans="2:7" x14ac:dyDescent="0.25">
      <c r="B11" s="115" t="s">
        <v>276</v>
      </c>
      <c r="C11">
        <v>16</v>
      </c>
      <c r="D11">
        <v>6</v>
      </c>
      <c r="E11">
        <v>1</v>
      </c>
      <c r="F11">
        <v>4</v>
      </c>
      <c r="G11">
        <v>27</v>
      </c>
    </row>
    <row r="13" spans="2:7" x14ac:dyDescent="0.25">
      <c r="B13" t="s">
        <v>610</v>
      </c>
      <c r="C13" t="s">
        <v>611</v>
      </c>
    </row>
    <row r="14" spans="2:7" x14ac:dyDescent="0.25">
      <c r="B14" t="s">
        <v>612</v>
      </c>
      <c r="C14" t="s">
        <v>607</v>
      </c>
      <c r="D14" t="s">
        <v>276</v>
      </c>
    </row>
    <row r="15" spans="2:7" x14ac:dyDescent="0.25">
      <c r="B15" s="115" t="s">
        <v>607</v>
      </c>
      <c r="C15">
        <v>1</v>
      </c>
      <c r="D15">
        <v>1</v>
      </c>
    </row>
    <row r="16" spans="2:7" x14ac:dyDescent="0.25">
      <c r="B16" s="115" t="s">
        <v>276</v>
      </c>
      <c r="C16">
        <v>1</v>
      </c>
      <c r="D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464C-437D-424A-BE2D-0F0A53561FCE}">
  <dimension ref="B3:AH35"/>
  <sheetViews>
    <sheetView topLeftCell="A17" zoomScaleNormal="100" workbookViewId="0">
      <selection activeCell="J50" sqref="J50"/>
    </sheetView>
  </sheetViews>
  <sheetFormatPr baseColWidth="10" defaultColWidth="8.85546875" defaultRowHeight="15" x14ac:dyDescent="0.25"/>
  <cols>
    <col min="1" max="1" width="10.85546875" style="361" customWidth="1"/>
    <col min="2" max="2" width="14.5703125" style="361" customWidth="1"/>
    <col min="3" max="3" width="12.42578125" style="361" customWidth="1"/>
    <col min="4" max="4" width="10.85546875" style="361" customWidth="1"/>
    <col min="5" max="6" width="11.42578125" style="361" customWidth="1"/>
    <col min="7" max="8" width="8.85546875" style="361"/>
    <col min="9" max="9" width="9.42578125" style="361" customWidth="1"/>
    <col min="10" max="10" width="12.140625" style="361" customWidth="1"/>
    <col min="11" max="11" width="13" style="361" customWidth="1"/>
    <col min="12" max="12" width="8.85546875" style="361"/>
    <col min="13" max="13" width="9.42578125" style="361" customWidth="1"/>
    <col min="14" max="16" width="8.85546875" style="361"/>
    <col min="17" max="17" width="0" style="361" hidden="1" customWidth="1"/>
    <col min="18" max="18" width="12.7109375" style="361" hidden="1" customWidth="1"/>
    <col min="19" max="19" width="14.7109375" style="361" hidden="1" customWidth="1"/>
    <col min="20" max="20" width="8.140625" style="361" hidden="1" customWidth="1"/>
    <col min="21" max="21" width="14.7109375" style="361" hidden="1" customWidth="1"/>
    <col min="22" max="22" width="8.140625" style="361" hidden="1" customWidth="1"/>
    <col min="23" max="23" width="14.7109375" style="361" hidden="1" customWidth="1"/>
    <col min="24" max="24" width="8.140625" style="361" hidden="1" customWidth="1"/>
    <col min="25" max="16384" width="8.85546875" style="361"/>
  </cols>
  <sheetData>
    <row r="3" spans="2:34" ht="28.5" x14ac:dyDescent="0.45">
      <c r="B3" s="360" t="s">
        <v>615</v>
      </c>
    </row>
    <row r="4" spans="2:34" x14ac:dyDescent="0.25">
      <c r="B4" s="362" t="s">
        <v>616</v>
      </c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418" t="s">
        <v>617</v>
      </c>
      <c r="T4" s="419"/>
      <c r="U4" s="419"/>
      <c r="V4" s="419"/>
      <c r="W4" s="419"/>
      <c r="X4" s="419"/>
    </row>
    <row r="5" spans="2:34" x14ac:dyDescent="0.25">
      <c r="B5" s="422" t="s">
        <v>613</v>
      </c>
      <c r="C5" s="423" t="s">
        <v>618</v>
      </c>
      <c r="D5" s="423"/>
      <c r="E5" s="423" t="s">
        <v>619</v>
      </c>
      <c r="F5" s="423"/>
      <c r="G5" s="423"/>
      <c r="H5" s="365"/>
      <c r="S5" s="366">
        <v>12</v>
      </c>
      <c r="T5" s="367" t="s">
        <v>620</v>
      </c>
      <c r="U5" s="366">
        <v>24</v>
      </c>
      <c r="V5" s="367" t="s">
        <v>620</v>
      </c>
      <c r="W5" s="366">
        <v>36</v>
      </c>
      <c r="X5" s="367" t="s">
        <v>620</v>
      </c>
    </row>
    <row r="6" spans="2:34" ht="45" x14ac:dyDescent="0.25">
      <c r="B6" s="422"/>
      <c r="C6" s="368" t="s">
        <v>621</v>
      </c>
      <c r="D6" s="368" t="s">
        <v>622</v>
      </c>
      <c r="E6" s="368" t="s">
        <v>621</v>
      </c>
      <c r="F6" s="368" t="s">
        <v>622</v>
      </c>
      <c r="G6" s="369" t="s">
        <v>623</v>
      </c>
      <c r="H6" s="369" t="s">
        <v>624</v>
      </c>
      <c r="I6" s="369" t="s">
        <v>625</v>
      </c>
      <c r="J6" s="369" t="s">
        <v>626</v>
      </c>
      <c r="K6" s="369" t="s">
        <v>627</v>
      </c>
      <c r="L6" s="369" t="s">
        <v>628</v>
      </c>
      <c r="M6" s="370" t="s">
        <v>629</v>
      </c>
      <c r="N6" s="369" t="s">
        <v>3</v>
      </c>
      <c r="O6" s="369" t="s">
        <v>630</v>
      </c>
      <c r="P6" s="369"/>
      <c r="Q6" s="369" t="s">
        <v>197</v>
      </c>
      <c r="R6" s="369" t="s">
        <v>631</v>
      </c>
      <c r="S6" s="371" t="s">
        <v>632</v>
      </c>
      <c r="T6" s="372" t="s">
        <v>197</v>
      </c>
      <c r="U6" s="371" t="s">
        <v>632</v>
      </c>
      <c r="V6" s="372" t="s">
        <v>197</v>
      </c>
      <c r="W6" s="371" t="s">
        <v>632</v>
      </c>
      <c r="X6" s="372" t="s">
        <v>197</v>
      </c>
      <c r="AA6" s="430" t="s">
        <v>633</v>
      </c>
      <c r="AB6" s="430"/>
      <c r="AC6" s="430"/>
      <c r="AD6" s="430"/>
      <c r="AE6" s="430"/>
      <c r="AF6" s="430"/>
      <c r="AG6" s="430"/>
      <c r="AH6" s="430"/>
    </row>
    <row r="7" spans="2:34" x14ac:dyDescent="0.25">
      <c r="B7" s="364">
        <v>1</v>
      </c>
      <c r="C7" s="364">
        <v>5</v>
      </c>
      <c r="D7" s="364">
        <v>1</v>
      </c>
      <c r="E7" s="364">
        <f t="shared" ref="E7:F9" si="0">C7*10%</f>
        <v>0.5</v>
      </c>
      <c r="F7" s="364">
        <f t="shared" si="0"/>
        <v>0.1</v>
      </c>
      <c r="G7" s="364">
        <v>1</v>
      </c>
      <c r="H7" s="373">
        <v>1</v>
      </c>
      <c r="I7" s="374">
        <v>41.551083591331277</v>
      </c>
      <c r="J7" s="375">
        <v>9.6098515466474019</v>
      </c>
      <c r="K7" s="376">
        <v>3.518333333333334</v>
      </c>
      <c r="L7" s="377">
        <f>(I7+K7)*G7+J7</f>
        <v>54.679268471312014</v>
      </c>
      <c r="M7" s="378">
        <v>70</v>
      </c>
      <c r="N7" s="379">
        <f>(M7-L7)/M7</f>
        <v>0.21886759326697122</v>
      </c>
      <c r="O7" s="380">
        <f t="shared" ref="O7:O9" si="1">+M7/G7</f>
        <v>70</v>
      </c>
      <c r="P7" s="379"/>
      <c r="Q7" s="373">
        <v>0.4</v>
      </c>
      <c r="R7" s="375">
        <f>L7/(1-Q7)</f>
        <v>91.132114118853366</v>
      </c>
      <c r="S7" s="381">
        <f>L7/(1-T7)</f>
        <v>91.132114118853366</v>
      </c>
      <c r="T7" s="382">
        <v>0.4</v>
      </c>
      <c r="U7" s="381">
        <f>L7/(1-V7)</f>
        <v>84.121951494326169</v>
      </c>
      <c r="V7" s="382">
        <v>0.35</v>
      </c>
      <c r="W7" s="381">
        <f>L7/(1-X7)</f>
        <v>78.113240673302883</v>
      </c>
      <c r="X7" s="382">
        <v>0.3</v>
      </c>
      <c r="Z7" s="383"/>
    </row>
    <row r="8" spans="2:34" x14ac:dyDescent="0.25">
      <c r="B8" s="364">
        <v>2</v>
      </c>
      <c r="C8" s="364">
        <v>10</v>
      </c>
      <c r="D8" s="364">
        <v>2</v>
      </c>
      <c r="E8" s="364">
        <f t="shared" si="0"/>
        <v>1</v>
      </c>
      <c r="F8" s="364">
        <f t="shared" si="0"/>
        <v>0.2</v>
      </c>
      <c r="G8" s="364">
        <f t="shared" ref="G8:G9" si="2">E8+F8</f>
        <v>1.2</v>
      </c>
      <c r="H8" s="373">
        <v>1</v>
      </c>
      <c r="I8" s="374">
        <v>41.551083591331277</v>
      </c>
      <c r="J8" s="375">
        <f>+J7</f>
        <v>9.6098515466474019</v>
      </c>
      <c r="K8" s="376">
        <v>3.518333333333334</v>
      </c>
      <c r="L8" s="380">
        <f>(I8+K8)*G8+J8</f>
        <v>63.693151856244924</v>
      </c>
      <c r="M8" s="378">
        <v>120</v>
      </c>
      <c r="N8" s="379">
        <f>(M8-L8)/M8</f>
        <v>0.46922373453129229</v>
      </c>
      <c r="O8" s="380">
        <f t="shared" si="1"/>
        <v>100</v>
      </c>
      <c r="P8" s="379"/>
      <c r="Q8" s="373">
        <v>0.4</v>
      </c>
      <c r="R8" s="375">
        <f t="shared" ref="R8:R9" si="3">L8/(1-Q8)</f>
        <v>106.15525309374155</v>
      </c>
      <c r="S8" s="381">
        <f>L8/(1-T8)</f>
        <v>106.15525309374155</v>
      </c>
      <c r="T8" s="382">
        <v>0.4</v>
      </c>
      <c r="U8" s="381">
        <f>L8/(1-V8)</f>
        <v>97.989464394222964</v>
      </c>
      <c r="V8" s="382">
        <v>0.35</v>
      </c>
      <c r="W8" s="381">
        <f>L8/(1-X8)</f>
        <v>90.990216937492761</v>
      </c>
      <c r="X8" s="382">
        <v>0.3</v>
      </c>
    </row>
    <row r="9" spans="2:34" x14ac:dyDescent="0.25">
      <c r="B9" s="364">
        <v>3</v>
      </c>
      <c r="C9" s="364">
        <v>15</v>
      </c>
      <c r="D9" s="364">
        <v>3</v>
      </c>
      <c r="E9" s="364">
        <f t="shared" si="0"/>
        <v>1.5</v>
      </c>
      <c r="F9" s="364">
        <f t="shared" si="0"/>
        <v>0.30000000000000004</v>
      </c>
      <c r="G9" s="364">
        <f t="shared" si="2"/>
        <v>1.8</v>
      </c>
      <c r="H9" s="373">
        <v>1</v>
      </c>
      <c r="I9" s="374">
        <v>41.551083591331277</v>
      </c>
      <c r="J9" s="375">
        <f>+J7</f>
        <v>9.6098515466474019</v>
      </c>
      <c r="K9" s="376">
        <v>3.518333333333334</v>
      </c>
      <c r="L9" s="380">
        <f>(I9+K9)*G9+J9</f>
        <v>90.734802011043698</v>
      </c>
      <c r="M9" s="378">
        <v>170</v>
      </c>
      <c r="N9" s="379">
        <f>(M9-L9)/M9</f>
        <v>0.46626587052327234</v>
      </c>
      <c r="O9" s="380">
        <f t="shared" si="1"/>
        <v>94.444444444444443</v>
      </c>
      <c r="P9" s="379"/>
      <c r="Q9" s="373">
        <v>0.4</v>
      </c>
      <c r="R9" s="375">
        <f t="shared" si="3"/>
        <v>151.22467001840616</v>
      </c>
      <c r="S9" s="381">
        <f>L9/(1-T9)</f>
        <v>151.22467001840616</v>
      </c>
      <c r="T9" s="382">
        <v>0.4</v>
      </c>
      <c r="U9" s="381">
        <f>L9/(1-V9)</f>
        <v>139.59200309391338</v>
      </c>
      <c r="V9" s="382">
        <v>0.35</v>
      </c>
      <c r="W9" s="381">
        <f>L9/(1-X9)</f>
        <v>129.62114573006244</v>
      </c>
      <c r="X9" s="382">
        <v>0.3</v>
      </c>
    </row>
    <row r="10" spans="2:34" ht="17.850000000000001" customHeight="1" x14ac:dyDescent="0.45">
      <c r="B10" s="360"/>
    </row>
    <row r="11" spans="2:34" ht="16.350000000000001" customHeight="1" x14ac:dyDescent="0.45">
      <c r="B11" s="360"/>
    </row>
    <row r="12" spans="2:34" x14ac:dyDescent="0.25">
      <c r="B12" s="362" t="s">
        <v>634</v>
      </c>
      <c r="C12" s="363"/>
      <c r="D12" s="363"/>
      <c r="E12" s="363"/>
      <c r="F12" s="363"/>
      <c r="G12" s="363"/>
      <c r="H12" s="363"/>
      <c r="I12" s="363"/>
      <c r="J12" s="363"/>
      <c r="K12" s="363"/>
      <c r="L12" s="363"/>
      <c r="M12" s="363"/>
      <c r="N12" s="363"/>
      <c r="O12" s="363"/>
      <c r="P12" s="363"/>
      <c r="Q12" s="363"/>
      <c r="R12" s="363"/>
      <c r="S12" s="418" t="s">
        <v>617</v>
      </c>
      <c r="T12" s="419"/>
      <c r="U12" s="419"/>
      <c r="V12" s="419"/>
      <c r="W12" s="419"/>
      <c r="X12" s="419"/>
    </row>
    <row r="13" spans="2:34" x14ac:dyDescent="0.25">
      <c r="B13" s="422" t="s">
        <v>613</v>
      </c>
      <c r="C13" s="423" t="s">
        <v>618</v>
      </c>
      <c r="D13" s="423"/>
      <c r="E13" s="424" t="s">
        <v>635</v>
      </c>
      <c r="F13" s="425"/>
      <c r="G13" s="426"/>
      <c r="H13" s="365"/>
      <c r="S13" s="366">
        <v>12</v>
      </c>
      <c r="T13" s="367" t="s">
        <v>620</v>
      </c>
      <c r="U13" s="366">
        <v>24</v>
      </c>
      <c r="V13" s="367" t="s">
        <v>620</v>
      </c>
      <c r="W13" s="366">
        <v>36</v>
      </c>
      <c r="X13" s="367" t="s">
        <v>620</v>
      </c>
    </row>
    <row r="14" spans="2:34" ht="27" customHeight="1" x14ac:dyDescent="0.25">
      <c r="B14" s="422"/>
      <c r="C14" s="368" t="s">
        <v>621</v>
      </c>
      <c r="D14" s="368" t="s">
        <v>622</v>
      </c>
      <c r="E14" s="427" t="s">
        <v>636</v>
      </c>
      <c r="F14" s="428"/>
      <c r="G14" s="429"/>
      <c r="H14" s="369" t="s">
        <v>624</v>
      </c>
      <c r="I14" s="369" t="s">
        <v>623</v>
      </c>
      <c r="J14" s="369" t="s">
        <v>637</v>
      </c>
      <c r="K14" s="369" t="s">
        <v>627</v>
      </c>
      <c r="L14" s="369" t="s">
        <v>628</v>
      </c>
      <c r="M14" s="369" t="s">
        <v>629</v>
      </c>
      <c r="N14" s="369" t="s">
        <v>3</v>
      </c>
      <c r="O14" s="369"/>
      <c r="P14" s="369"/>
      <c r="Q14" s="369" t="s">
        <v>197</v>
      </c>
      <c r="R14" s="369" t="s">
        <v>631</v>
      </c>
      <c r="S14" s="371" t="s">
        <v>632</v>
      </c>
      <c r="T14" s="372" t="s">
        <v>197</v>
      </c>
      <c r="U14" s="371" t="s">
        <v>632</v>
      </c>
      <c r="V14" s="372" t="s">
        <v>197</v>
      </c>
      <c r="W14" s="371" t="s">
        <v>632</v>
      </c>
      <c r="X14" s="372" t="s">
        <v>197</v>
      </c>
    </row>
    <row r="15" spans="2:34" x14ac:dyDescent="0.25">
      <c r="B15" s="364">
        <v>4</v>
      </c>
      <c r="C15" s="364">
        <v>50</v>
      </c>
      <c r="D15" s="364">
        <v>5</v>
      </c>
      <c r="E15" s="424">
        <v>2</v>
      </c>
      <c r="F15" s="425"/>
      <c r="G15" s="426"/>
      <c r="H15" s="384">
        <v>1</v>
      </c>
      <c r="I15" s="385">
        <f>0.006</f>
        <v>6.0000000000000001E-3</v>
      </c>
      <c r="J15" s="375">
        <f>+$J$7</f>
        <v>9.6098515466474019</v>
      </c>
      <c r="K15" s="376">
        <v>3.518333333333334</v>
      </c>
      <c r="L15" s="386">
        <f>(I15+K15)*G15+J15</f>
        <v>9.6098515466474019</v>
      </c>
      <c r="M15" s="387">
        <v>20</v>
      </c>
      <c r="N15" s="379">
        <f>(M15-L15)/M15</f>
        <v>0.51950742266762995</v>
      </c>
      <c r="O15" s="377"/>
      <c r="P15" s="377"/>
      <c r="Q15" s="373">
        <v>0.4</v>
      </c>
      <c r="R15" s="375">
        <f>(E15*H15*L15)/(1-Q15)</f>
        <v>32.032838488824673</v>
      </c>
      <c r="S15" s="381">
        <v>20</v>
      </c>
      <c r="T15" s="388"/>
      <c r="U15" s="381">
        <v>18</v>
      </c>
      <c r="V15" s="388"/>
      <c r="W15" s="381">
        <v>16</v>
      </c>
      <c r="X15" s="388"/>
    </row>
    <row r="16" spans="2:34" x14ac:dyDescent="0.25">
      <c r="B16" s="364">
        <v>4</v>
      </c>
      <c r="C16" s="364">
        <v>10</v>
      </c>
      <c r="D16" s="364">
        <v>1</v>
      </c>
      <c r="E16" s="424">
        <v>1</v>
      </c>
      <c r="F16" s="425"/>
      <c r="G16" s="426"/>
      <c r="H16" s="384">
        <v>1</v>
      </c>
      <c r="I16" s="385">
        <f>0.003</f>
        <v>3.0000000000000001E-3</v>
      </c>
      <c r="J16" s="375">
        <f>+$J$7</f>
        <v>9.6098515466474019</v>
      </c>
      <c r="K16" s="376">
        <v>3.518333333333334</v>
      </c>
      <c r="L16" s="386">
        <f>(I16+K16)*G16+J16</f>
        <v>9.6098515466474019</v>
      </c>
      <c r="M16" s="387">
        <v>20</v>
      </c>
      <c r="N16" s="379">
        <f>(M16-L16)/M16</f>
        <v>0.51950742266762995</v>
      </c>
      <c r="O16" s="377"/>
      <c r="P16" s="361" t="s">
        <v>638</v>
      </c>
    </row>
    <row r="17" spans="2:24" x14ac:dyDescent="0.25">
      <c r="S17" s="364" t="s">
        <v>639</v>
      </c>
      <c r="T17" s="365"/>
    </row>
    <row r="18" spans="2:24" x14ac:dyDescent="0.25">
      <c r="S18" s="364">
        <v>0.7</v>
      </c>
      <c r="T18" s="365"/>
    </row>
    <row r="21" spans="2:24" x14ac:dyDescent="0.25">
      <c r="B21" s="389" t="s">
        <v>640</v>
      </c>
      <c r="C21" s="390"/>
      <c r="D21" s="390"/>
      <c r="E21" s="390"/>
      <c r="F21" s="390"/>
      <c r="G21" s="390"/>
      <c r="H21" s="390"/>
      <c r="I21" s="390"/>
      <c r="J21" s="390"/>
      <c r="K21" s="390"/>
      <c r="L21" s="390"/>
      <c r="M21" s="390"/>
      <c r="N21" s="390"/>
      <c r="O21" s="390"/>
      <c r="P21" s="390"/>
      <c r="Q21" s="390"/>
      <c r="R21" s="390"/>
      <c r="S21" s="420" t="s">
        <v>641</v>
      </c>
      <c r="T21" s="421"/>
      <c r="U21" s="421"/>
      <c r="V21" s="421"/>
      <c r="W21" s="421"/>
      <c r="X21" s="421"/>
    </row>
    <row r="22" spans="2:24" x14ac:dyDescent="0.25">
      <c r="B22" s="422" t="s">
        <v>613</v>
      </c>
      <c r="C22" s="423" t="s">
        <v>618</v>
      </c>
      <c r="D22" s="423"/>
      <c r="E22" s="423" t="s">
        <v>619</v>
      </c>
      <c r="F22" s="423"/>
      <c r="G22" s="423"/>
      <c r="H22" s="365"/>
      <c r="S22" s="366">
        <v>12</v>
      </c>
      <c r="T22" s="367" t="s">
        <v>620</v>
      </c>
      <c r="U22" s="366">
        <v>24</v>
      </c>
      <c r="V22" s="367" t="s">
        <v>620</v>
      </c>
      <c r="W22" s="366">
        <v>36</v>
      </c>
      <c r="X22" s="367" t="s">
        <v>620</v>
      </c>
    </row>
    <row r="23" spans="2:24" ht="45" x14ac:dyDescent="0.25">
      <c r="B23" s="422"/>
      <c r="C23" s="368" t="s">
        <v>621</v>
      </c>
      <c r="D23" s="368" t="s">
        <v>622</v>
      </c>
      <c r="E23" s="368" t="s">
        <v>621</v>
      </c>
      <c r="F23" s="368" t="s">
        <v>622</v>
      </c>
      <c r="G23" s="369" t="s">
        <v>623</v>
      </c>
      <c r="H23" s="369" t="s">
        <v>624</v>
      </c>
      <c r="I23" s="369" t="s">
        <v>625</v>
      </c>
      <c r="J23" s="369" t="s">
        <v>637</v>
      </c>
      <c r="K23" s="369" t="s">
        <v>627</v>
      </c>
      <c r="L23" s="369" t="s">
        <v>628</v>
      </c>
      <c r="M23" s="370" t="s">
        <v>629</v>
      </c>
      <c r="N23" s="369" t="s">
        <v>3</v>
      </c>
      <c r="O23" s="369" t="s">
        <v>630</v>
      </c>
      <c r="P23" s="369"/>
      <c r="Q23" s="369" t="s">
        <v>197</v>
      </c>
      <c r="R23" s="369" t="s">
        <v>631</v>
      </c>
      <c r="S23" s="371" t="s">
        <v>642</v>
      </c>
      <c r="T23" s="372" t="s">
        <v>197</v>
      </c>
      <c r="U23" s="371" t="s">
        <v>632</v>
      </c>
      <c r="V23" s="372" t="s">
        <v>197</v>
      </c>
      <c r="W23" s="371" t="s">
        <v>632</v>
      </c>
      <c r="X23" s="372" t="s">
        <v>197</v>
      </c>
    </row>
    <row r="24" spans="2:24" x14ac:dyDescent="0.25">
      <c r="B24" s="364">
        <v>5</v>
      </c>
      <c r="C24" s="364">
        <v>5</v>
      </c>
      <c r="D24" s="364">
        <v>1</v>
      </c>
      <c r="E24" s="364">
        <v>0.5</v>
      </c>
      <c r="F24" s="364">
        <v>0.1</v>
      </c>
      <c r="G24" s="364">
        <f>E24+F24</f>
        <v>0.6</v>
      </c>
      <c r="H24" s="373">
        <v>1</v>
      </c>
      <c r="I24" s="374">
        <v>41.551083591331277</v>
      </c>
      <c r="J24" s="375">
        <f t="shared" ref="J24:J30" si="4">+$J$7</f>
        <v>9.6098515466474019</v>
      </c>
      <c r="K24" s="376">
        <v>3.518333333333334</v>
      </c>
      <c r="L24" s="380">
        <f t="shared" ref="L24:L30" si="5">(I24+J24+K24)*G24</f>
        <v>32.80756108278721</v>
      </c>
      <c r="M24" s="378">
        <v>70</v>
      </c>
      <c r="N24" s="379">
        <f t="shared" ref="N24:N30" si="6">(M24-L24)/M24</f>
        <v>0.53132055596018268</v>
      </c>
      <c r="O24" s="380">
        <f>+M24/G24</f>
        <v>116.66666666666667</v>
      </c>
      <c r="P24" s="380"/>
      <c r="Q24" s="373">
        <v>0.4</v>
      </c>
      <c r="R24" s="375">
        <f t="shared" ref="R24:R30" si="7">L24/(1-Q24)</f>
        <v>54.679268471312021</v>
      </c>
      <c r="S24" s="381">
        <f>L24/(1-T24)</f>
        <v>54.679268471312021</v>
      </c>
      <c r="T24" s="382">
        <v>0.4</v>
      </c>
      <c r="U24" s="381">
        <f>L24/(1-V24)</f>
        <v>50.473170896595711</v>
      </c>
      <c r="V24" s="382">
        <f>T24-5%</f>
        <v>0.35000000000000003</v>
      </c>
      <c r="W24" s="381">
        <f>L24/(1-X24)</f>
        <v>46.867944403981731</v>
      </c>
      <c r="X24" s="382">
        <f>V24-5%</f>
        <v>0.30000000000000004</v>
      </c>
    </row>
    <row r="25" spans="2:24" x14ac:dyDescent="0.25">
      <c r="B25" s="364">
        <v>6</v>
      </c>
      <c r="C25" s="364">
        <v>10</v>
      </c>
      <c r="D25" s="364">
        <v>3</v>
      </c>
      <c r="E25" s="364">
        <v>1</v>
      </c>
      <c r="F25" s="364">
        <v>0.3</v>
      </c>
      <c r="G25" s="364">
        <f t="shared" ref="G25:G30" si="8">E25+F25</f>
        <v>1.3</v>
      </c>
      <c r="H25" s="373">
        <v>1</v>
      </c>
      <c r="I25" s="374">
        <v>41.551083591331277</v>
      </c>
      <c r="J25" s="375">
        <f t="shared" si="4"/>
        <v>9.6098515466474019</v>
      </c>
      <c r="K25" s="376">
        <v>3.518333333333334</v>
      </c>
      <c r="L25" s="377">
        <f t="shared" si="5"/>
        <v>71.083049012705615</v>
      </c>
      <c r="M25" s="378">
        <v>130</v>
      </c>
      <c r="N25" s="379">
        <f t="shared" si="6"/>
        <v>0.45320731528687991</v>
      </c>
      <c r="O25" s="380">
        <f t="shared" ref="O25:O30" si="9">+M25/G25</f>
        <v>100</v>
      </c>
      <c r="P25" s="380"/>
      <c r="Q25" s="373">
        <v>0.4</v>
      </c>
      <c r="R25" s="375">
        <f t="shared" si="7"/>
        <v>118.47174835450936</v>
      </c>
      <c r="S25" s="381">
        <f t="shared" ref="S25:S30" si="10">L25/(1-T25)</f>
        <v>118.47174835450936</v>
      </c>
      <c r="T25" s="382">
        <v>0.4</v>
      </c>
      <c r="U25" s="381">
        <f t="shared" ref="U25:U30" si="11">L25/(1-V25)</f>
        <v>109.35853694262404</v>
      </c>
      <c r="V25" s="382">
        <f t="shared" ref="V25:V30" si="12">T25-5%</f>
        <v>0.35000000000000003</v>
      </c>
      <c r="W25" s="381">
        <f t="shared" ref="W25:W30" si="13">L25/(1-X25)</f>
        <v>101.54721287529374</v>
      </c>
      <c r="X25" s="382">
        <f t="shared" ref="X25:X30" si="14">V25-5%</f>
        <v>0.30000000000000004</v>
      </c>
    </row>
    <row r="26" spans="2:24" x14ac:dyDescent="0.25">
      <c r="B26" s="364">
        <v>7</v>
      </c>
      <c r="C26" s="364">
        <v>15</v>
      </c>
      <c r="D26" s="364">
        <v>3</v>
      </c>
      <c r="E26" s="364">
        <v>1.5</v>
      </c>
      <c r="F26" s="364">
        <v>0.3</v>
      </c>
      <c r="G26" s="364">
        <f t="shared" si="8"/>
        <v>1.8</v>
      </c>
      <c r="H26" s="373">
        <v>1</v>
      </c>
      <c r="I26" s="374">
        <v>41.551083591331277</v>
      </c>
      <c r="J26" s="375">
        <f t="shared" si="4"/>
        <v>9.6098515466474019</v>
      </c>
      <c r="K26" s="376">
        <v>3.518333333333334</v>
      </c>
      <c r="L26" s="380">
        <f t="shared" si="5"/>
        <v>98.422683248361622</v>
      </c>
      <c r="M26" s="378">
        <v>170</v>
      </c>
      <c r="N26" s="379">
        <f t="shared" si="6"/>
        <v>0.42104303971551987</v>
      </c>
      <c r="O26" s="380">
        <f t="shared" si="9"/>
        <v>94.444444444444443</v>
      </c>
      <c r="P26" s="380"/>
      <c r="Q26" s="373">
        <v>0.4</v>
      </c>
      <c r="R26" s="375">
        <f t="shared" si="7"/>
        <v>164.03780541393604</v>
      </c>
      <c r="S26" s="381">
        <f t="shared" si="10"/>
        <v>164.03780541393604</v>
      </c>
      <c r="T26" s="382">
        <v>0.4</v>
      </c>
      <c r="U26" s="381">
        <f t="shared" si="11"/>
        <v>151.41951268978713</v>
      </c>
      <c r="V26" s="382">
        <f t="shared" si="12"/>
        <v>0.35000000000000003</v>
      </c>
      <c r="W26" s="381">
        <f t="shared" si="13"/>
        <v>140.60383321194519</v>
      </c>
      <c r="X26" s="382">
        <f t="shared" si="14"/>
        <v>0.30000000000000004</v>
      </c>
    </row>
    <row r="27" spans="2:24" x14ac:dyDescent="0.25">
      <c r="B27" s="364">
        <v>8</v>
      </c>
      <c r="C27" s="364">
        <v>20</v>
      </c>
      <c r="D27" s="364">
        <v>3</v>
      </c>
      <c r="E27" s="364">
        <v>2</v>
      </c>
      <c r="F27" s="364">
        <v>0.75</v>
      </c>
      <c r="G27" s="364">
        <f t="shared" si="8"/>
        <v>2.75</v>
      </c>
      <c r="H27" s="373">
        <v>1</v>
      </c>
      <c r="I27" s="374">
        <v>41.551083591331277</v>
      </c>
      <c r="J27" s="375">
        <f t="shared" si="4"/>
        <v>9.6098515466474019</v>
      </c>
      <c r="K27" s="376">
        <v>3.518333333333334</v>
      </c>
      <c r="L27" s="380">
        <f t="shared" si="5"/>
        <v>150.36798829610802</v>
      </c>
      <c r="M27" s="378">
        <v>300</v>
      </c>
      <c r="N27" s="379">
        <f t="shared" si="6"/>
        <v>0.49877337234630659</v>
      </c>
      <c r="O27" s="380">
        <f t="shared" si="9"/>
        <v>109.09090909090909</v>
      </c>
      <c r="P27" s="380"/>
      <c r="Q27" s="373">
        <v>0.4</v>
      </c>
      <c r="R27" s="375">
        <f t="shared" si="7"/>
        <v>250.61331382684671</v>
      </c>
      <c r="S27" s="381">
        <f t="shared" si="10"/>
        <v>250.61331382684671</v>
      </c>
      <c r="T27" s="382">
        <v>0.4</v>
      </c>
      <c r="U27" s="381">
        <f t="shared" si="11"/>
        <v>231.335366609397</v>
      </c>
      <c r="V27" s="382">
        <f t="shared" si="12"/>
        <v>0.35000000000000003</v>
      </c>
      <c r="W27" s="381">
        <f t="shared" si="13"/>
        <v>214.8114118515829</v>
      </c>
      <c r="X27" s="382">
        <f t="shared" si="14"/>
        <v>0.30000000000000004</v>
      </c>
    </row>
    <row r="28" spans="2:24" x14ac:dyDescent="0.25">
      <c r="B28" s="364">
        <v>9</v>
      </c>
      <c r="C28" s="364">
        <v>10</v>
      </c>
      <c r="D28" s="364">
        <v>1</v>
      </c>
      <c r="E28" s="364">
        <v>3</v>
      </c>
      <c r="F28" s="364">
        <v>1</v>
      </c>
      <c r="G28" s="364">
        <f t="shared" si="8"/>
        <v>4</v>
      </c>
      <c r="H28" s="373">
        <v>1</v>
      </c>
      <c r="I28" s="374">
        <v>41.551083591331277</v>
      </c>
      <c r="J28" s="375">
        <f t="shared" si="4"/>
        <v>9.6098515466474019</v>
      </c>
      <c r="K28" s="376">
        <v>3.518333333333334</v>
      </c>
      <c r="L28" s="380">
        <f t="shared" si="5"/>
        <v>218.71707388524806</v>
      </c>
      <c r="M28" s="378">
        <v>465</v>
      </c>
      <c r="N28" s="379">
        <f t="shared" si="6"/>
        <v>0.52964070132204721</v>
      </c>
      <c r="O28" s="380">
        <f t="shared" si="9"/>
        <v>116.25</v>
      </c>
      <c r="P28" s="380"/>
      <c r="Q28" s="373">
        <v>0.4</v>
      </c>
      <c r="R28" s="375">
        <f t="shared" si="7"/>
        <v>364.52845647541346</v>
      </c>
      <c r="S28" s="381">
        <f t="shared" si="10"/>
        <v>364.52845647541346</v>
      </c>
      <c r="T28" s="382">
        <v>0.4</v>
      </c>
      <c r="U28" s="381">
        <f t="shared" si="11"/>
        <v>336.48780597730473</v>
      </c>
      <c r="V28" s="382">
        <f t="shared" si="12"/>
        <v>0.35000000000000003</v>
      </c>
      <c r="W28" s="381">
        <f t="shared" si="13"/>
        <v>312.45296269321153</v>
      </c>
      <c r="X28" s="382">
        <f t="shared" si="14"/>
        <v>0.30000000000000004</v>
      </c>
    </row>
    <row r="29" spans="2:24" x14ac:dyDescent="0.25">
      <c r="B29" s="364">
        <v>10</v>
      </c>
      <c r="C29" s="364">
        <v>25</v>
      </c>
      <c r="D29" s="364">
        <v>3</v>
      </c>
      <c r="E29" s="364">
        <v>5</v>
      </c>
      <c r="F29" s="364">
        <v>1</v>
      </c>
      <c r="G29" s="364">
        <f t="shared" si="8"/>
        <v>6</v>
      </c>
      <c r="H29" s="373">
        <v>1</v>
      </c>
      <c r="I29" s="374">
        <v>41.551083591331277</v>
      </c>
      <c r="J29" s="375">
        <f t="shared" si="4"/>
        <v>9.6098515466474019</v>
      </c>
      <c r="K29" s="376">
        <v>3.518333333333334</v>
      </c>
      <c r="L29" s="380">
        <f t="shared" si="5"/>
        <v>328.07561082787208</v>
      </c>
      <c r="M29" s="378">
        <v>925</v>
      </c>
      <c r="N29" s="379">
        <f t="shared" si="6"/>
        <v>0.64532366396986807</v>
      </c>
      <c r="O29" s="380">
        <f t="shared" si="9"/>
        <v>154.16666666666666</v>
      </c>
      <c r="P29" s="380"/>
      <c r="Q29" s="373">
        <v>0.4</v>
      </c>
      <c r="R29" s="375">
        <f t="shared" si="7"/>
        <v>546.79268471312014</v>
      </c>
      <c r="S29" s="381">
        <f t="shared" si="10"/>
        <v>546.79268471312014</v>
      </c>
      <c r="T29" s="382">
        <v>0.4</v>
      </c>
      <c r="U29" s="381">
        <f t="shared" si="11"/>
        <v>504.73170896595713</v>
      </c>
      <c r="V29" s="382">
        <f t="shared" si="12"/>
        <v>0.35000000000000003</v>
      </c>
      <c r="W29" s="381">
        <f t="shared" si="13"/>
        <v>468.67944403981727</v>
      </c>
      <c r="X29" s="382">
        <f t="shared" si="14"/>
        <v>0.30000000000000004</v>
      </c>
    </row>
    <row r="30" spans="2:24" x14ac:dyDescent="0.25">
      <c r="B30" s="364">
        <v>11</v>
      </c>
      <c r="C30" s="364">
        <v>50</v>
      </c>
      <c r="D30" s="364">
        <v>5</v>
      </c>
      <c r="E30" s="364">
        <v>15</v>
      </c>
      <c r="F30" s="364">
        <v>3</v>
      </c>
      <c r="G30" s="364">
        <f t="shared" si="8"/>
        <v>18</v>
      </c>
      <c r="H30" s="373">
        <v>1</v>
      </c>
      <c r="I30" s="375">
        <v>41.551083591331277</v>
      </c>
      <c r="J30" s="375">
        <f t="shared" si="4"/>
        <v>9.6098515466474019</v>
      </c>
      <c r="K30" s="376">
        <v>3.518333333333334</v>
      </c>
      <c r="L30" s="380">
        <f t="shared" si="5"/>
        <v>984.22683248361625</v>
      </c>
      <c r="M30" s="378">
        <v>2350</v>
      </c>
      <c r="N30" s="379">
        <f t="shared" si="6"/>
        <v>0.58118007128356752</v>
      </c>
      <c r="O30" s="380">
        <f t="shared" si="9"/>
        <v>130.55555555555554</v>
      </c>
      <c r="P30" s="380"/>
      <c r="Q30" s="373">
        <v>0.4</v>
      </c>
      <c r="R30" s="375">
        <f t="shared" si="7"/>
        <v>1640.3780541393605</v>
      </c>
      <c r="S30" s="381">
        <f t="shared" si="10"/>
        <v>1640.3780541393605</v>
      </c>
      <c r="T30" s="382">
        <v>0.4</v>
      </c>
      <c r="U30" s="381">
        <f t="shared" si="11"/>
        <v>1514.1951268978714</v>
      </c>
      <c r="V30" s="382">
        <f t="shared" si="12"/>
        <v>0.35000000000000003</v>
      </c>
      <c r="W30" s="381">
        <f t="shared" si="13"/>
        <v>1406.038332119452</v>
      </c>
      <c r="X30" s="382">
        <f t="shared" si="14"/>
        <v>0.30000000000000004</v>
      </c>
    </row>
    <row r="31" spans="2:24" x14ac:dyDescent="0.25">
      <c r="E31" s="361">
        <f>C30/E30</f>
        <v>3.3333333333333335</v>
      </c>
      <c r="F31" s="361">
        <f>D30/F30</f>
        <v>1.6666666666666667</v>
      </c>
    </row>
    <row r="34" spans="11:13" x14ac:dyDescent="0.25">
      <c r="K34" s="383">
        <f>I30+J30+K30</f>
        <v>54.679268471312014</v>
      </c>
    </row>
    <row r="35" spans="11:13" x14ac:dyDescent="0.25">
      <c r="M35" s="391"/>
    </row>
  </sheetData>
  <mergeCells count="16">
    <mergeCell ref="S4:X4"/>
    <mergeCell ref="B5:B6"/>
    <mergeCell ref="C5:D5"/>
    <mergeCell ref="E5:G5"/>
    <mergeCell ref="AA6:AH6"/>
    <mergeCell ref="S12:X12"/>
    <mergeCell ref="S21:X21"/>
    <mergeCell ref="B22:B23"/>
    <mergeCell ref="C22:D22"/>
    <mergeCell ref="E22:G22"/>
    <mergeCell ref="B13:B14"/>
    <mergeCell ref="C13:D13"/>
    <mergeCell ref="E13:G13"/>
    <mergeCell ref="E14:G14"/>
    <mergeCell ref="E15:G15"/>
    <mergeCell ref="E16:G16"/>
  </mergeCell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D48A-62AF-4F6F-9ACE-66DACC48F970}">
  <dimension ref="A1:AF38"/>
  <sheetViews>
    <sheetView zoomScale="85" zoomScaleNormal="85" workbookViewId="0">
      <selection activeCell="C5" sqref="C5"/>
    </sheetView>
  </sheetViews>
  <sheetFormatPr baseColWidth="10" defaultColWidth="11.5703125" defaultRowHeight="12" x14ac:dyDescent="0.2"/>
  <cols>
    <col min="1" max="1" width="5.28515625" style="4" customWidth="1"/>
    <col min="2" max="2" width="86.7109375" style="4" customWidth="1"/>
    <col min="3" max="5" width="12.7109375" style="4" customWidth="1"/>
    <col min="6" max="9" width="13.5703125" style="4" customWidth="1"/>
    <col min="10" max="10" width="16.140625" style="4" customWidth="1"/>
    <col min="11" max="11" width="15.140625" style="4" customWidth="1"/>
    <col min="12" max="13" width="13.5703125" style="4" customWidth="1"/>
    <col min="14" max="29" width="12.7109375" style="4" customWidth="1"/>
    <col min="30" max="32" width="12.140625" style="4" customWidth="1"/>
    <col min="33" max="16384" width="11.5703125" style="4"/>
  </cols>
  <sheetData>
    <row r="1" spans="2:32" ht="18.75" x14ac:dyDescent="0.3">
      <c r="B1" s="37" t="s">
        <v>215</v>
      </c>
    </row>
    <row r="3" spans="2:32" x14ac:dyDescent="0.2">
      <c r="J3" s="435" t="s">
        <v>10</v>
      </c>
      <c r="K3" s="436"/>
    </row>
    <row r="4" spans="2:32" x14ac:dyDescent="0.2">
      <c r="B4" s="29" t="s">
        <v>63</v>
      </c>
      <c r="C4" s="8" t="e">
        <f>HLOOKUP(1,I13:AF14,2,0)</f>
        <v>#N/A</v>
      </c>
      <c r="J4" s="6" t="s">
        <v>64</v>
      </c>
      <c r="K4" s="25" t="e">
        <f>#REF!</f>
        <v>#REF!</v>
      </c>
    </row>
    <row r="5" spans="2:32" x14ac:dyDescent="0.2">
      <c r="B5" s="30" t="s">
        <v>59</v>
      </c>
      <c r="C5" s="32" t="e">
        <f>NPV(C10,D37:O37)+C37</f>
        <v>#REF!</v>
      </c>
      <c r="J5" s="6" t="s">
        <v>65</v>
      </c>
      <c r="K5" s="7" t="e">
        <f>K4*#REF!</f>
        <v>#REF!</v>
      </c>
    </row>
    <row r="6" spans="2:32" x14ac:dyDescent="0.2">
      <c r="B6" s="30" t="s">
        <v>60</v>
      </c>
      <c r="C6" s="32" t="e">
        <f>NPV(C10,D37:AA37)+C37</f>
        <v>#REF!</v>
      </c>
      <c r="J6" s="6" t="s">
        <v>66</v>
      </c>
      <c r="K6" s="25">
        <v>0</v>
      </c>
    </row>
    <row r="7" spans="2:32" ht="24" x14ac:dyDescent="0.2">
      <c r="B7" s="30" t="s">
        <v>61</v>
      </c>
      <c r="C7" s="32" t="e">
        <f>NPV(C10,D37:AF37)+C37</f>
        <v>#REF!</v>
      </c>
      <c r="J7" s="6" t="s">
        <v>54</v>
      </c>
      <c r="K7" s="25" t="e">
        <f>K4*4.17%</f>
        <v>#REF!</v>
      </c>
      <c r="M7" s="18"/>
    </row>
    <row r="8" spans="2:32" x14ac:dyDescent="0.2">
      <c r="B8" s="30" t="s">
        <v>62</v>
      </c>
      <c r="C8" s="32" t="e">
        <f>NPV(C10,D37:AF37)+C37</f>
        <v>#REF!</v>
      </c>
      <c r="J8" s="9"/>
      <c r="K8" s="25"/>
    </row>
    <row r="9" spans="2:32" x14ac:dyDescent="0.2">
      <c r="B9" s="30" t="s">
        <v>58</v>
      </c>
      <c r="C9" s="31">
        <v>0.12</v>
      </c>
    </row>
    <row r="10" spans="2:32" x14ac:dyDescent="0.2">
      <c r="B10" s="30" t="s">
        <v>57</v>
      </c>
      <c r="C10" s="28">
        <f>+POWER(1+C9,1/12)-1</f>
        <v>9.4887929345830457E-3</v>
      </c>
    </row>
    <row r="11" spans="2:32" x14ac:dyDescent="0.2">
      <c r="B11" s="30"/>
      <c r="C11" s="33"/>
    </row>
    <row r="13" spans="2:32" x14ac:dyDescent="0.2">
      <c r="D13" s="3"/>
      <c r="E13" s="3"/>
      <c r="F13" s="3"/>
      <c r="G13" s="3"/>
      <c r="H13" s="3"/>
      <c r="I13" s="26" t="e">
        <f>IF(I17&gt;0,1,0)</f>
        <v>#REF!</v>
      </c>
      <c r="J13" s="26" t="e">
        <f t="shared" ref="J13:AF13" si="0">IF(J17&gt;0,1,0)</f>
        <v>#REF!</v>
      </c>
      <c r="K13" s="26" t="e">
        <f t="shared" si="0"/>
        <v>#REF!</v>
      </c>
      <c r="L13" s="26" t="e">
        <f t="shared" si="0"/>
        <v>#REF!</v>
      </c>
      <c r="M13" s="26" t="e">
        <f t="shared" si="0"/>
        <v>#REF!</v>
      </c>
      <c r="N13" s="26" t="e">
        <f t="shared" si="0"/>
        <v>#REF!</v>
      </c>
      <c r="O13" s="26" t="e">
        <f t="shared" si="0"/>
        <v>#REF!</v>
      </c>
      <c r="P13" s="26" t="e">
        <f t="shared" si="0"/>
        <v>#REF!</v>
      </c>
      <c r="Q13" s="26" t="e">
        <f t="shared" si="0"/>
        <v>#REF!</v>
      </c>
      <c r="R13" s="26" t="e">
        <f t="shared" si="0"/>
        <v>#REF!</v>
      </c>
      <c r="S13" s="26" t="e">
        <f t="shared" si="0"/>
        <v>#REF!</v>
      </c>
      <c r="T13" s="26" t="e">
        <f t="shared" si="0"/>
        <v>#REF!</v>
      </c>
      <c r="U13" s="26" t="e">
        <f t="shared" si="0"/>
        <v>#REF!</v>
      </c>
      <c r="V13" s="26" t="e">
        <f t="shared" si="0"/>
        <v>#REF!</v>
      </c>
      <c r="W13" s="26" t="e">
        <f t="shared" si="0"/>
        <v>#REF!</v>
      </c>
      <c r="X13" s="26" t="e">
        <f t="shared" si="0"/>
        <v>#REF!</v>
      </c>
      <c r="Y13" s="26" t="e">
        <f t="shared" si="0"/>
        <v>#REF!</v>
      </c>
      <c r="Z13" s="26" t="e">
        <f t="shared" si="0"/>
        <v>#REF!</v>
      </c>
      <c r="AA13" s="26" t="e">
        <f t="shared" si="0"/>
        <v>#REF!</v>
      </c>
      <c r="AB13" s="26" t="e">
        <f t="shared" si="0"/>
        <v>#REF!</v>
      </c>
      <c r="AC13" s="26" t="e">
        <f t="shared" si="0"/>
        <v>#REF!</v>
      </c>
      <c r="AD13" s="26" t="e">
        <f t="shared" si="0"/>
        <v>#REF!</v>
      </c>
      <c r="AE13" s="26" t="e">
        <f t="shared" si="0"/>
        <v>#REF!</v>
      </c>
      <c r="AF13" s="26" t="e">
        <f t="shared" si="0"/>
        <v>#REF!</v>
      </c>
    </row>
    <row r="14" spans="2:32" x14ac:dyDescent="0.2">
      <c r="C14" s="4">
        <v>0</v>
      </c>
      <c r="D14" s="4">
        <v>1</v>
      </c>
      <c r="E14" s="4">
        <v>2</v>
      </c>
      <c r="F14" s="4">
        <v>3</v>
      </c>
      <c r="G14" s="4">
        <v>4</v>
      </c>
      <c r="H14" s="4">
        <v>5</v>
      </c>
      <c r="I14" s="4">
        <v>6</v>
      </c>
      <c r="J14" s="4">
        <v>7</v>
      </c>
      <c r="K14" s="4">
        <v>8</v>
      </c>
      <c r="L14" s="4">
        <v>9</v>
      </c>
      <c r="M14" s="4">
        <v>10</v>
      </c>
      <c r="N14" s="4">
        <v>11</v>
      </c>
      <c r="O14" s="4">
        <v>12</v>
      </c>
      <c r="P14" s="4">
        <v>13</v>
      </c>
      <c r="Q14" s="4">
        <v>14</v>
      </c>
      <c r="R14" s="4">
        <v>15</v>
      </c>
      <c r="S14" s="4">
        <v>16</v>
      </c>
      <c r="T14" s="4">
        <v>17</v>
      </c>
      <c r="U14" s="4">
        <v>18</v>
      </c>
      <c r="V14" s="4">
        <v>19</v>
      </c>
      <c r="W14" s="4">
        <v>20</v>
      </c>
      <c r="X14" s="4">
        <v>21</v>
      </c>
      <c r="Y14" s="4">
        <v>22</v>
      </c>
      <c r="Z14" s="4">
        <v>23</v>
      </c>
      <c r="AA14" s="4">
        <v>24</v>
      </c>
      <c r="AB14" s="4">
        <v>25</v>
      </c>
      <c r="AC14" s="4">
        <v>26</v>
      </c>
      <c r="AD14" s="4">
        <v>27</v>
      </c>
      <c r="AE14" s="4">
        <v>28</v>
      </c>
      <c r="AF14" s="4">
        <v>29</v>
      </c>
    </row>
    <row r="15" spans="2:32" x14ac:dyDescent="0.2">
      <c r="C15" s="10" t="s">
        <v>20</v>
      </c>
      <c r="D15" s="11" t="s">
        <v>21</v>
      </c>
      <c r="E15" s="11" t="s">
        <v>22</v>
      </c>
      <c r="F15" s="11" t="s">
        <v>23</v>
      </c>
      <c r="G15" s="11" t="s">
        <v>24</v>
      </c>
      <c r="H15" s="11" t="s">
        <v>25</v>
      </c>
      <c r="I15" s="11" t="s">
        <v>26</v>
      </c>
      <c r="J15" s="11" t="s">
        <v>27</v>
      </c>
      <c r="K15" s="11" t="s">
        <v>28</v>
      </c>
      <c r="L15" s="11" t="s">
        <v>29</v>
      </c>
      <c r="M15" s="11" t="s">
        <v>30</v>
      </c>
      <c r="N15" s="11" t="s">
        <v>31</v>
      </c>
      <c r="O15" s="11" t="s">
        <v>32</v>
      </c>
      <c r="P15" s="11" t="s">
        <v>33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38</v>
      </c>
      <c r="V15" s="11" t="s">
        <v>39</v>
      </c>
      <c r="W15" s="11" t="s">
        <v>40</v>
      </c>
      <c r="X15" s="11" t="s">
        <v>41</v>
      </c>
      <c r="Y15" s="11" t="s">
        <v>42</v>
      </c>
      <c r="Z15" s="11" t="s">
        <v>43</v>
      </c>
      <c r="AA15" s="11" t="s">
        <v>44</v>
      </c>
      <c r="AB15" s="11" t="s">
        <v>45</v>
      </c>
      <c r="AC15" s="11" t="s">
        <v>46</v>
      </c>
      <c r="AD15" s="11" t="s">
        <v>47</v>
      </c>
      <c r="AE15" s="11" t="s">
        <v>48</v>
      </c>
      <c r="AF15" s="11" t="s">
        <v>49</v>
      </c>
    </row>
    <row r="16" spans="2:32" x14ac:dyDescent="0.2">
      <c r="C16" s="437" t="s">
        <v>67</v>
      </c>
      <c r="D16" s="437"/>
      <c r="E16" s="437"/>
      <c r="F16" s="437"/>
      <c r="G16" s="437"/>
      <c r="H16" s="437"/>
    </row>
    <row r="17" spans="1:32" x14ac:dyDescent="0.2">
      <c r="B17" s="12" t="s">
        <v>50</v>
      </c>
      <c r="C17" s="13" t="e">
        <f>0+C20-C23-C31</f>
        <v>#REF!</v>
      </c>
      <c r="D17" s="13" t="e">
        <f t="shared" ref="D17:AF17" si="1">C17+D20-D23+D28-D31</f>
        <v>#REF!</v>
      </c>
      <c r="E17" s="13" t="e">
        <f t="shared" si="1"/>
        <v>#REF!</v>
      </c>
      <c r="F17" s="13" t="e">
        <f t="shared" si="1"/>
        <v>#REF!</v>
      </c>
      <c r="G17" s="13" t="e">
        <f t="shared" si="1"/>
        <v>#REF!</v>
      </c>
      <c r="H17" s="13" t="e">
        <f t="shared" si="1"/>
        <v>#REF!</v>
      </c>
      <c r="I17" s="13" t="e">
        <f t="shared" si="1"/>
        <v>#REF!</v>
      </c>
      <c r="J17" s="13" t="e">
        <f t="shared" si="1"/>
        <v>#REF!</v>
      </c>
      <c r="K17" s="13" t="e">
        <f t="shared" si="1"/>
        <v>#REF!</v>
      </c>
      <c r="L17" s="13" t="e">
        <f t="shared" si="1"/>
        <v>#REF!</v>
      </c>
      <c r="M17" s="13" t="e">
        <f t="shared" si="1"/>
        <v>#REF!</v>
      </c>
      <c r="N17" s="13" t="e">
        <f t="shared" si="1"/>
        <v>#REF!</v>
      </c>
      <c r="O17" s="13" t="e">
        <f t="shared" si="1"/>
        <v>#REF!</v>
      </c>
      <c r="P17" s="13" t="e">
        <f t="shared" si="1"/>
        <v>#REF!</v>
      </c>
      <c r="Q17" s="13" t="e">
        <f t="shared" si="1"/>
        <v>#REF!</v>
      </c>
      <c r="R17" s="13" t="e">
        <f t="shared" si="1"/>
        <v>#REF!</v>
      </c>
      <c r="S17" s="13" t="e">
        <f t="shared" si="1"/>
        <v>#REF!</v>
      </c>
      <c r="T17" s="13" t="e">
        <f t="shared" si="1"/>
        <v>#REF!</v>
      </c>
      <c r="U17" s="13" t="e">
        <f t="shared" si="1"/>
        <v>#REF!</v>
      </c>
      <c r="V17" s="13" t="e">
        <f t="shared" si="1"/>
        <v>#REF!</v>
      </c>
      <c r="W17" s="13" t="e">
        <f t="shared" si="1"/>
        <v>#REF!</v>
      </c>
      <c r="X17" s="13" t="e">
        <f t="shared" si="1"/>
        <v>#REF!</v>
      </c>
      <c r="Y17" s="13" t="e">
        <f t="shared" si="1"/>
        <v>#REF!</v>
      </c>
      <c r="Z17" s="13" t="e">
        <f t="shared" si="1"/>
        <v>#REF!</v>
      </c>
      <c r="AA17" s="13" t="e">
        <f t="shared" si="1"/>
        <v>#REF!</v>
      </c>
      <c r="AB17" s="13" t="e">
        <f t="shared" si="1"/>
        <v>#REF!</v>
      </c>
      <c r="AC17" s="13" t="e">
        <f t="shared" si="1"/>
        <v>#REF!</v>
      </c>
      <c r="AD17" s="13" t="e">
        <f t="shared" si="1"/>
        <v>#REF!</v>
      </c>
      <c r="AE17" s="13" t="e">
        <f t="shared" si="1"/>
        <v>#REF!</v>
      </c>
      <c r="AF17" s="13" t="e">
        <f t="shared" si="1"/>
        <v>#REF!</v>
      </c>
    </row>
    <row r="18" spans="1:32" x14ac:dyDescent="0.2">
      <c r="A18" s="36"/>
      <c r="D18" s="14"/>
    </row>
    <row r="19" spans="1:32" x14ac:dyDescent="0.2">
      <c r="A19" s="431" t="s">
        <v>1</v>
      </c>
      <c r="B19" s="15" t="s">
        <v>51</v>
      </c>
      <c r="C19" s="21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 spans="1:32" x14ac:dyDescent="0.2">
      <c r="A20" s="432"/>
      <c r="B20" s="34" t="s">
        <v>52</v>
      </c>
      <c r="C20" s="22"/>
      <c r="D20" s="23"/>
      <c r="E20" s="23"/>
      <c r="F20" s="23"/>
      <c r="G20" s="23"/>
      <c r="H20" s="23"/>
      <c r="I20" s="24" t="e">
        <f>I21+I22</f>
        <v>#REF!</v>
      </c>
      <c r="J20" s="24" t="e">
        <f t="shared" ref="J20:AF20" si="2">J21+J22</f>
        <v>#REF!</v>
      </c>
      <c r="K20" s="24" t="e">
        <f t="shared" si="2"/>
        <v>#REF!</v>
      </c>
      <c r="L20" s="24" t="e">
        <f t="shared" si="2"/>
        <v>#REF!</v>
      </c>
      <c r="M20" s="24" t="e">
        <f t="shared" si="2"/>
        <v>#REF!</v>
      </c>
      <c r="N20" s="24" t="e">
        <f t="shared" si="2"/>
        <v>#REF!</v>
      </c>
      <c r="O20" s="24" t="e">
        <f t="shared" si="2"/>
        <v>#REF!</v>
      </c>
      <c r="P20" s="24" t="e">
        <f t="shared" si="2"/>
        <v>#REF!</v>
      </c>
      <c r="Q20" s="24" t="e">
        <f t="shared" si="2"/>
        <v>#REF!</v>
      </c>
      <c r="R20" s="24" t="e">
        <f t="shared" si="2"/>
        <v>#REF!</v>
      </c>
      <c r="S20" s="24" t="e">
        <f t="shared" si="2"/>
        <v>#REF!</v>
      </c>
      <c r="T20" s="24" t="e">
        <f t="shared" si="2"/>
        <v>#REF!</v>
      </c>
      <c r="U20" s="24" t="e">
        <f t="shared" si="2"/>
        <v>#REF!</v>
      </c>
      <c r="V20" s="24" t="e">
        <f t="shared" si="2"/>
        <v>#REF!</v>
      </c>
      <c r="W20" s="24" t="e">
        <f t="shared" si="2"/>
        <v>#REF!</v>
      </c>
      <c r="X20" s="24" t="e">
        <f t="shared" si="2"/>
        <v>#REF!</v>
      </c>
      <c r="Y20" s="24" t="e">
        <f t="shared" si="2"/>
        <v>#REF!</v>
      </c>
      <c r="Z20" s="24" t="e">
        <f t="shared" si="2"/>
        <v>#REF!</v>
      </c>
      <c r="AA20" s="24" t="e">
        <f t="shared" si="2"/>
        <v>#REF!</v>
      </c>
      <c r="AB20" s="24" t="e">
        <f t="shared" si="2"/>
        <v>#REF!</v>
      </c>
      <c r="AC20" s="24" t="e">
        <f t="shared" si="2"/>
        <v>#REF!</v>
      </c>
      <c r="AD20" s="24" t="e">
        <f t="shared" si="2"/>
        <v>#REF!</v>
      </c>
      <c r="AE20" s="24" t="e">
        <f t="shared" si="2"/>
        <v>#REF!</v>
      </c>
      <c r="AF20" s="24" t="e">
        <f t="shared" si="2"/>
        <v>#REF!</v>
      </c>
    </row>
    <row r="21" spans="1:32" x14ac:dyDescent="0.2">
      <c r="A21" s="432"/>
      <c r="B21" s="17" t="s">
        <v>216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f>K6</f>
        <v>0</v>
      </c>
    </row>
    <row r="22" spans="1:32" x14ac:dyDescent="0.2">
      <c r="A22" s="432"/>
      <c r="B22" s="17" t="s">
        <v>217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 t="e">
        <f>$K$7</f>
        <v>#REF!</v>
      </c>
      <c r="J22" s="18" t="e">
        <f t="shared" ref="J22:AE22" si="3">$K$7</f>
        <v>#REF!</v>
      </c>
      <c r="K22" s="18" t="e">
        <f t="shared" si="3"/>
        <v>#REF!</v>
      </c>
      <c r="L22" s="18" t="e">
        <f t="shared" si="3"/>
        <v>#REF!</v>
      </c>
      <c r="M22" s="18" t="e">
        <f t="shared" si="3"/>
        <v>#REF!</v>
      </c>
      <c r="N22" s="18" t="e">
        <f t="shared" si="3"/>
        <v>#REF!</v>
      </c>
      <c r="O22" s="18" t="e">
        <f t="shared" si="3"/>
        <v>#REF!</v>
      </c>
      <c r="P22" s="18" t="e">
        <f t="shared" si="3"/>
        <v>#REF!</v>
      </c>
      <c r="Q22" s="18" t="e">
        <f t="shared" si="3"/>
        <v>#REF!</v>
      </c>
      <c r="R22" s="18" t="e">
        <f t="shared" si="3"/>
        <v>#REF!</v>
      </c>
      <c r="S22" s="18" t="e">
        <f t="shared" si="3"/>
        <v>#REF!</v>
      </c>
      <c r="T22" s="18" t="e">
        <f t="shared" si="3"/>
        <v>#REF!</v>
      </c>
      <c r="U22" s="18" t="e">
        <f t="shared" si="3"/>
        <v>#REF!</v>
      </c>
      <c r="V22" s="18" t="e">
        <f t="shared" si="3"/>
        <v>#REF!</v>
      </c>
      <c r="W22" s="18" t="e">
        <f t="shared" si="3"/>
        <v>#REF!</v>
      </c>
      <c r="X22" s="18" t="e">
        <f t="shared" si="3"/>
        <v>#REF!</v>
      </c>
      <c r="Y22" s="18" t="e">
        <f t="shared" si="3"/>
        <v>#REF!</v>
      </c>
      <c r="Z22" s="18" t="e">
        <f t="shared" si="3"/>
        <v>#REF!</v>
      </c>
      <c r="AA22" s="18" t="e">
        <f t="shared" si="3"/>
        <v>#REF!</v>
      </c>
      <c r="AB22" s="18" t="e">
        <f t="shared" si="3"/>
        <v>#REF!</v>
      </c>
      <c r="AC22" s="18" t="e">
        <f t="shared" si="3"/>
        <v>#REF!</v>
      </c>
      <c r="AD22" s="18" t="e">
        <f t="shared" si="3"/>
        <v>#REF!</v>
      </c>
      <c r="AE22" s="18" t="e">
        <f t="shared" si="3"/>
        <v>#REF!</v>
      </c>
      <c r="AF22" s="18" t="e">
        <f>K4*4.09%</f>
        <v>#REF!</v>
      </c>
    </row>
    <row r="23" spans="1:32" x14ac:dyDescent="0.2">
      <c r="A23" s="432"/>
      <c r="B23" s="35" t="s">
        <v>53</v>
      </c>
      <c r="C23" s="19"/>
      <c r="D23" s="20">
        <f>D24+D25+D26</f>
        <v>0</v>
      </c>
      <c r="E23" s="20">
        <f t="shared" ref="E23:AF23" si="4">E24+E25+E26</f>
        <v>0</v>
      </c>
      <c r="F23" s="20">
        <f t="shared" si="4"/>
        <v>0</v>
      </c>
      <c r="G23" s="20">
        <f t="shared" si="4"/>
        <v>0</v>
      </c>
      <c r="H23" s="20">
        <f t="shared" si="4"/>
        <v>0</v>
      </c>
      <c r="I23" s="20" t="e">
        <f t="shared" si="4"/>
        <v>#REF!</v>
      </c>
      <c r="J23" s="20" t="e">
        <f t="shared" si="4"/>
        <v>#REF!</v>
      </c>
      <c r="K23" s="20" t="e">
        <f t="shared" si="4"/>
        <v>#REF!</v>
      </c>
      <c r="L23" s="20" t="e">
        <f t="shared" si="4"/>
        <v>#REF!</v>
      </c>
      <c r="M23" s="20" t="e">
        <f t="shared" si="4"/>
        <v>#REF!</v>
      </c>
      <c r="N23" s="20" t="e">
        <f t="shared" si="4"/>
        <v>#REF!</v>
      </c>
      <c r="O23" s="20" t="e">
        <f t="shared" si="4"/>
        <v>#REF!</v>
      </c>
      <c r="P23" s="20" t="e">
        <f t="shared" si="4"/>
        <v>#REF!</v>
      </c>
      <c r="Q23" s="20" t="e">
        <f t="shared" si="4"/>
        <v>#REF!</v>
      </c>
      <c r="R23" s="20" t="e">
        <f t="shared" si="4"/>
        <v>#REF!</v>
      </c>
      <c r="S23" s="20" t="e">
        <f t="shared" si="4"/>
        <v>#REF!</v>
      </c>
      <c r="T23" s="20" t="e">
        <f t="shared" si="4"/>
        <v>#REF!</v>
      </c>
      <c r="U23" s="20" t="e">
        <f t="shared" si="4"/>
        <v>#REF!</v>
      </c>
      <c r="V23" s="20" t="e">
        <f t="shared" si="4"/>
        <v>#REF!</v>
      </c>
      <c r="W23" s="20" t="e">
        <f t="shared" si="4"/>
        <v>#REF!</v>
      </c>
      <c r="X23" s="20" t="e">
        <f t="shared" si="4"/>
        <v>#REF!</v>
      </c>
      <c r="Y23" s="20" t="e">
        <f t="shared" si="4"/>
        <v>#REF!</v>
      </c>
      <c r="Z23" s="20" t="e">
        <f t="shared" si="4"/>
        <v>#REF!</v>
      </c>
      <c r="AA23" s="20" t="e">
        <f t="shared" si="4"/>
        <v>#REF!</v>
      </c>
      <c r="AB23" s="20" t="e">
        <f t="shared" si="4"/>
        <v>#REF!</v>
      </c>
      <c r="AC23" s="20" t="e">
        <f t="shared" si="4"/>
        <v>#REF!</v>
      </c>
      <c r="AD23" s="20" t="e">
        <f t="shared" si="4"/>
        <v>#REF!</v>
      </c>
      <c r="AE23" s="20" t="e">
        <f t="shared" si="4"/>
        <v>#REF!</v>
      </c>
      <c r="AF23" s="20" t="e">
        <f t="shared" si="4"/>
        <v>#REF!</v>
      </c>
    </row>
    <row r="24" spans="1:32" x14ac:dyDescent="0.2">
      <c r="A24" s="432"/>
      <c r="B24" s="17" t="s">
        <v>214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 t="e">
        <f>#REF!/24</f>
        <v>#REF!</v>
      </c>
      <c r="J24" s="18" t="e">
        <f>$I$24</f>
        <v>#REF!</v>
      </c>
      <c r="K24" s="18" t="e">
        <f t="shared" ref="K24:AF24" si="5">$I$24</f>
        <v>#REF!</v>
      </c>
      <c r="L24" s="18" t="e">
        <f t="shared" si="5"/>
        <v>#REF!</v>
      </c>
      <c r="M24" s="18" t="e">
        <f t="shared" si="5"/>
        <v>#REF!</v>
      </c>
      <c r="N24" s="18" t="e">
        <f t="shared" si="5"/>
        <v>#REF!</v>
      </c>
      <c r="O24" s="18" t="e">
        <f t="shared" si="5"/>
        <v>#REF!</v>
      </c>
      <c r="P24" s="18" t="e">
        <f t="shared" si="5"/>
        <v>#REF!</v>
      </c>
      <c r="Q24" s="18" t="e">
        <f t="shared" si="5"/>
        <v>#REF!</v>
      </c>
      <c r="R24" s="18" t="e">
        <f t="shared" si="5"/>
        <v>#REF!</v>
      </c>
      <c r="S24" s="18" t="e">
        <f t="shared" si="5"/>
        <v>#REF!</v>
      </c>
      <c r="T24" s="18" t="e">
        <f t="shared" si="5"/>
        <v>#REF!</v>
      </c>
      <c r="U24" s="18" t="e">
        <f t="shared" si="5"/>
        <v>#REF!</v>
      </c>
      <c r="V24" s="18" t="e">
        <f t="shared" si="5"/>
        <v>#REF!</v>
      </c>
      <c r="W24" s="18" t="e">
        <f t="shared" si="5"/>
        <v>#REF!</v>
      </c>
      <c r="X24" s="18" t="e">
        <f t="shared" si="5"/>
        <v>#REF!</v>
      </c>
      <c r="Y24" s="18" t="e">
        <f t="shared" si="5"/>
        <v>#REF!</v>
      </c>
      <c r="Z24" s="18" t="e">
        <f t="shared" si="5"/>
        <v>#REF!</v>
      </c>
      <c r="AA24" s="18" t="e">
        <f t="shared" si="5"/>
        <v>#REF!</v>
      </c>
      <c r="AB24" s="18" t="e">
        <f t="shared" si="5"/>
        <v>#REF!</v>
      </c>
      <c r="AC24" s="18" t="e">
        <f t="shared" si="5"/>
        <v>#REF!</v>
      </c>
      <c r="AD24" s="18" t="e">
        <f t="shared" si="5"/>
        <v>#REF!</v>
      </c>
      <c r="AE24" s="18" t="e">
        <f t="shared" si="5"/>
        <v>#REF!</v>
      </c>
      <c r="AF24" s="18" t="e">
        <f t="shared" si="5"/>
        <v>#REF!</v>
      </c>
    </row>
    <row r="25" spans="1:32" x14ac:dyDescent="0.2">
      <c r="A25" s="432"/>
      <c r="B25" s="17" t="s">
        <v>218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 t="e">
        <f>#REF!/24</f>
        <v>#REF!</v>
      </c>
      <c r="J25" s="18" t="e">
        <f>$I$25</f>
        <v>#REF!</v>
      </c>
      <c r="K25" s="18" t="e">
        <f t="shared" ref="K25:AF25" si="6">$I$25</f>
        <v>#REF!</v>
      </c>
      <c r="L25" s="18" t="e">
        <f t="shared" si="6"/>
        <v>#REF!</v>
      </c>
      <c r="M25" s="18" t="e">
        <f t="shared" si="6"/>
        <v>#REF!</v>
      </c>
      <c r="N25" s="18" t="e">
        <f t="shared" si="6"/>
        <v>#REF!</v>
      </c>
      <c r="O25" s="18" t="e">
        <f t="shared" si="6"/>
        <v>#REF!</v>
      </c>
      <c r="P25" s="18" t="e">
        <f t="shared" si="6"/>
        <v>#REF!</v>
      </c>
      <c r="Q25" s="18" t="e">
        <f t="shared" si="6"/>
        <v>#REF!</v>
      </c>
      <c r="R25" s="18" t="e">
        <f t="shared" si="6"/>
        <v>#REF!</v>
      </c>
      <c r="S25" s="18" t="e">
        <f t="shared" si="6"/>
        <v>#REF!</v>
      </c>
      <c r="T25" s="18" t="e">
        <f t="shared" si="6"/>
        <v>#REF!</v>
      </c>
      <c r="U25" s="18" t="e">
        <f t="shared" si="6"/>
        <v>#REF!</v>
      </c>
      <c r="V25" s="18" t="e">
        <f t="shared" si="6"/>
        <v>#REF!</v>
      </c>
      <c r="W25" s="18" t="e">
        <f t="shared" si="6"/>
        <v>#REF!</v>
      </c>
      <c r="X25" s="18" t="e">
        <f t="shared" si="6"/>
        <v>#REF!</v>
      </c>
      <c r="Y25" s="18" t="e">
        <f t="shared" si="6"/>
        <v>#REF!</v>
      </c>
      <c r="Z25" s="18" t="e">
        <f t="shared" si="6"/>
        <v>#REF!</v>
      </c>
      <c r="AA25" s="18" t="e">
        <f t="shared" si="6"/>
        <v>#REF!</v>
      </c>
      <c r="AB25" s="18" t="e">
        <f t="shared" si="6"/>
        <v>#REF!</v>
      </c>
      <c r="AC25" s="18" t="e">
        <f t="shared" si="6"/>
        <v>#REF!</v>
      </c>
      <c r="AD25" s="18" t="e">
        <f t="shared" si="6"/>
        <v>#REF!</v>
      </c>
      <c r="AE25" s="18" t="e">
        <f t="shared" si="6"/>
        <v>#REF!</v>
      </c>
      <c r="AF25" s="18" t="e">
        <f t="shared" si="6"/>
        <v>#REF!</v>
      </c>
    </row>
    <row r="26" spans="1:32" x14ac:dyDescent="0.2">
      <c r="A26" s="433"/>
      <c r="B26" s="17" t="s">
        <v>18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 t="e">
        <f>#REF!/24</f>
        <v>#REF!</v>
      </c>
      <c r="J26" s="18" t="e">
        <f>$I$26</f>
        <v>#REF!</v>
      </c>
      <c r="K26" s="18" t="e">
        <f t="shared" ref="K26:AF26" si="7">$I$26</f>
        <v>#REF!</v>
      </c>
      <c r="L26" s="18" t="e">
        <f t="shared" si="7"/>
        <v>#REF!</v>
      </c>
      <c r="M26" s="18" t="e">
        <f t="shared" si="7"/>
        <v>#REF!</v>
      </c>
      <c r="N26" s="18" t="e">
        <f t="shared" si="7"/>
        <v>#REF!</v>
      </c>
      <c r="O26" s="18" t="e">
        <f t="shared" si="7"/>
        <v>#REF!</v>
      </c>
      <c r="P26" s="18" t="e">
        <f t="shared" si="7"/>
        <v>#REF!</v>
      </c>
      <c r="Q26" s="18" t="e">
        <f t="shared" si="7"/>
        <v>#REF!</v>
      </c>
      <c r="R26" s="18" t="e">
        <f t="shared" si="7"/>
        <v>#REF!</v>
      </c>
      <c r="S26" s="18" t="e">
        <f t="shared" si="7"/>
        <v>#REF!</v>
      </c>
      <c r="T26" s="18" t="e">
        <f t="shared" si="7"/>
        <v>#REF!</v>
      </c>
      <c r="U26" s="18" t="e">
        <f t="shared" si="7"/>
        <v>#REF!</v>
      </c>
      <c r="V26" s="18" t="e">
        <f t="shared" si="7"/>
        <v>#REF!</v>
      </c>
      <c r="W26" s="18" t="e">
        <f t="shared" si="7"/>
        <v>#REF!</v>
      </c>
      <c r="X26" s="18" t="e">
        <f t="shared" si="7"/>
        <v>#REF!</v>
      </c>
      <c r="Y26" s="18" t="e">
        <f t="shared" si="7"/>
        <v>#REF!</v>
      </c>
      <c r="Z26" s="18" t="e">
        <f t="shared" si="7"/>
        <v>#REF!</v>
      </c>
      <c r="AA26" s="18" t="e">
        <f t="shared" si="7"/>
        <v>#REF!</v>
      </c>
      <c r="AB26" s="18" t="e">
        <f t="shared" si="7"/>
        <v>#REF!</v>
      </c>
      <c r="AC26" s="18" t="e">
        <f t="shared" si="7"/>
        <v>#REF!</v>
      </c>
      <c r="AD26" s="18" t="e">
        <f t="shared" si="7"/>
        <v>#REF!</v>
      </c>
      <c r="AE26" s="18" t="e">
        <f t="shared" si="7"/>
        <v>#REF!</v>
      </c>
      <c r="AF26" s="18" t="e">
        <f t="shared" si="7"/>
        <v>#REF!</v>
      </c>
    </row>
    <row r="27" spans="1:32" x14ac:dyDescent="0.2">
      <c r="A27" s="434" t="s">
        <v>0</v>
      </c>
      <c r="B27" s="15" t="s">
        <v>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2" x14ac:dyDescent="0.2">
      <c r="A28" s="434"/>
      <c r="B28" s="23" t="s">
        <v>52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x14ac:dyDescent="0.2">
      <c r="A29" s="434"/>
      <c r="B29" s="17"/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</row>
    <row r="30" spans="1:32" x14ac:dyDescent="0.2">
      <c r="A30" s="434"/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</row>
    <row r="31" spans="1:32" x14ac:dyDescent="0.2">
      <c r="A31" s="434"/>
      <c r="B31" s="23" t="s">
        <v>53</v>
      </c>
      <c r="C31" s="24" t="e">
        <f>C32+C33+C34+C35+C36</f>
        <v>#REF!</v>
      </c>
      <c r="D31" s="24" t="e">
        <f t="shared" ref="D31:AF31" si="8">D32+D33+D34+D35+D36</f>
        <v>#REF!</v>
      </c>
      <c r="E31" s="24" t="e">
        <f t="shared" si="8"/>
        <v>#REF!</v>
      </c>
      <c r="F31" s="24" t="e">
        <f t="shared" si="8"/>
        <v>#REF!</v>
      </c>
      <c r="G31" s="24" t="e">
        <f t="shared" si="8"/>
        <v>#REF!</v>
      </c>
      <c r="H31" s="24" t="e">
        <f t="shared" si="8"/>
        <v>#REF!</v>
      </c>
      <c r="I31" s="24">
        <f t="shared" si="8"/>
        <v>0</v>
      </c>
      <c r="J31" s="24">
        <f t="shared" si="8"/>
        <v>0</v>
      </c>
      <c r="K31" s="24">
        <f t="shared" si="8"/>
        <v>0</v>
      </c>
      <c r="L31" s="24">
        <f t="shared" si="8"/>
        <v>0</v>
      </c>
      <c r="M31" s="24">
        <f t="shared" si="8"/>
        <v>0</v>
      </c>
      <c r="N31" s="24">
        <f t="shared" si="8"/>
        <v>0</v>
      </c>
      <c r="O31" s="24">
        <f t="shared" si="8"/>
        <v>0</v>
      </c>
      <c r="P31" s="24">
        <f t="shared" si="8"/>
        <v>0</v>
      </c>
      <c r="Q31" s="24">
        <f t="shared" si="8"/>
        <v>0</v>
      </c>
      <c r="R31" s="24">
        <f t="shared" si="8"/>
        <v>0</v>
      </c>
      <c r="S31" s="24">
        <f t="shared" si="8"/>
        <v>0</v>
      </c>
      <c r="T31" s="24">
        <f t="shared" si="8"/>
        <v>0</v>
      </c>
      <c r="U31" s="24">
        <f t="shared" si="8"/>
        <v>0</v>
      </c>
      <c r="V31" s="24">
        <f t="shared" si="8"/>
        <v>0</v>
      </c>
      <c r="W31" s="24">
        <f t="shared" si="8"/>
        <v>0</v>
      </c>
      <c r="X31" s="24">
        <f t="shared" si="8"/>
        <v>0</v>
      </c>
      <c r="Y31" s="24">
        <f t="shared" si="8"/>
        <v>0</v>
      </c>
      <c r="Z31" s="24">
        <f t="shared" si="8"/>
        <v>0</v>
      </c>
      <c r="AA31" s="24">
        <f t="shared" si="8"/>
        <v>0</v>
      </c>
      <c r="AB31" s="24">
        <f t="shared" si="8"/>
        <v>0</v>
      </c>
      <c r="AC31" s="24">
        <f t="shared" si="8"/>
        <v>0</v>
      </c>
      <c r="AD31" s="24">
        <f t="shared" si="8"/>
        <v>0</v>
      </c>
      <c r="AE31" s="24">
        <f t="shared" si="8"/>
        <v>0</v>
      </c>
      <c r="AF31" s="24">
        <f t="shared" si="8"/>
        <v>0</v>
      </c>
    </row>
    <row r="32" spans="1:32" x14ac:dyDescent="0.2">
      <c r="A32" s="434"/>
      <c r="B32" s="17" t="s">
        <v>212</v>
      </c>
      <c r="C32" s="18" t="e">
        <f>#REF!</f>
        <v>#REF!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</row>
    <row r="33" spans="1:32" x14ac:dyDescent="0.2">
      <c r="A33" s="434"/>
      <c r="B33" s="17" t="s">
        <v>213</v>
      </c>
      <c r="C33" s="18" t="e">
        <f>#REF!</f>
        <v>#REF!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</row>
    <row r="34" spans="1:32" x14ac:dyDescent="0.2">
      <c r="A34" s="434"/>
      <c r="B34" s="40" t="s">
        <v>11</v>
      </c>
      <c r="C34" s="18">
        <v>0</v>
      </c>
      <c r="D34" s="18" t="e">
        <f>#REF!/5</f>
        <v>#REF!</v>
      </c>
      <c r="E34" s="18" t="e">
        <f>#REF!/5</f>
        <v>#REF!</v>
      </c>
      <c r="F34" s="18" t="e">
        <f>#REF!/5</f>
        <v>#REF!</v>
      </c>
      <c r="G34" s="18" t="e">
        <f>#REF!/5</f>
        <v>#REF!</v>
      </c>
      <c r="H34" s="18" t="e">
        <f>#REF!/5</f>
        <v>#REF!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</row>
    <row r="35" spans="1:32" x14ac:dyDescent="0.2">
      <c r="A35" s="434"/>
      <c r="B35" s="17" t="s">
        <v>214</v>
      </c>
      <c r="C35" s="18" t="e">
        <f>#REF!</f>
        <v>#REF!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</row>
    <row r="36" spans="1:32" x14ac:dyDescent="0.2">
      <c r="A36" s="434"/>
      <c r="B36" s="17"/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</row>
    <row r="37" spans="1:32" x14ac:dyDescent="0.2">
      <c r="B37" s="27" t="s">
        <v>55</v>
      </c>
      <c r="C37" s="38" t="e">
        <f t="shared" ref="C37:AF37" si="9">C20-C23+C28-C31</f>
        <v>#REF!</v>
      </c>
      <c r="D37" s="38" t="e">
        <f t="shared" si="9"/>
        <v>#REF!</v>
      </c>
      <c r="E37" s="38" t="e">
        <f t="shared" si="9"/>
        <v>#REF!</v>
      </c>
      <c r="F37" s="38" t="e">
        <f t="shared" si="9"/>
        <v>#REF!</v>
      </c>
      <c r="G37" s="38" t="e">
        <f t="shared" si="9"/>
        <v>#REF!</v>
      </c>
      <c r="H37" s="38" t="e">
        <f t="shared" si="9"/>
        <v>#REF!</v>
      </c>
      <c r="I37" s="38" t="e">
        <f t="shared" si="9"/>
        <v>#REF!</v>
      </c>
      <c r="J37" s="38" t="e">
        <f t="shared" si="9"/>
        <v>#REF!</v>
      </c>
      <c r="K37" s="38" t="e">
        <f t="shared" si="9"/>
        <v>#REF!</v>
      </c>
      <c r="L37" s="38" t="e">
        <f t="shared" si="9"/>
        <v>#REF!</v>
      </c>
      <c r="M37" s="38" t="e">
        <f t="shared" si="9"/>
        <v>#REF!</v>
      </c>
      <c r="N37" s="38" t="e">
        <f t="shared" si="9"/>
        <v>#REF!</v>
      </c>
      <c r="O37" s="38" t="e">
        <f t="shared" si="9"/>
        <v>#REF!</v>
      </c>
      <c r="P37" s="38" t="e">
        <f t="shared" si="9"/>
        <v>#REF!</v>
      </c>
      <c r="Q37" s="38" t="e">
        <f t="shared" si="9"/>
        <v>#REF!</v>
      </c>
      <c r="R37" s="38" t="e">
        <f t="shared" si="9"/>
        <v>#REF!</v>
      </c>
      <c r="S37" s="38" t="e">
        <f t="shared" si="9"/>
        <v>#REF!</v>
      </c>
      <c r="T37" s="38" t="e">
        <f t="shared" si="9"/>
        <v>#REF!</v>
      </c>
      <c r="U37" s="38" t="e">
        <f t="shared" si="9"/>
        <v>#REF!</v>
      </c>
      <c r="V37" s="38" t="e">
        <f t="shared" si="9"/>
        <v>#REF!</v>
      </c>
      <c r="W37" s="38" t="e">
        <f t="shared" si="9"/>
        <v>#REF!</v>
      </c>
      <c r="X37" s="38" t="e">
        <f t="shared" si="9"/>
        <v>#REF!</v>
      </c>
      <c r="Y37" s="38" t="e">
        <f t="shared" si="9"/>
        <v>#REF!</v>
      </c>
      <c r="Z37" s="38" t="e">
        <f t="shared" si="9"/>
        <v>#REF!</v>
      </c>
      <c r="AA37" s="38" t="e">
        <f t="shared" si="9"/>
        <v>#REF!</v>
      </c>
      <c r="AB37" s="38" t="e">
        <f t="shared" si="9"/>
        <v>#REF!</v>
      </c>
      <c r="AC37" s="38" t="e">
        <f t="shared" si="9"/>
        <v>#REF!</v>
      </c>
      <c r="AD37" s="38" t="e">
        <f t="shared" si="9"/>
        <v>#REF!</v>
      </c>
      <c r="AE37" s="38" t="e">
        <f t="shared" si="9"/>
        <v>#REF!</v>
      </c>
      <c r="AF37" s="38" t="e">
        <f t="shared" si="9"/>
        <v>#REF!</v>
      </c>
    </row>
    <row r="38" spans="1:32" x14ac:dyDescent="0.2">
      <c r="B38" s="27" t="s">
        <v>56</v>
      </c>
      <c r="C38" s="39" t="e">
        <f t="shared" ref="C38:AF38" si="10">+C37*POWER(1+$C$10,-C14)</f>
        <v>#REF!</v>
      </c>
      <c r="D38" s="39" t="e">
        <f t="shared" si="10"/>
        <v>#REF!</v>
      </c>
      <c r="E38" s="39" t="e">
        <f t="shared" si="10"/>
        <v>#REF!</v>
      </c>
      <c r="F38" s="39" t="e">
        <f t="shared" si="10"/>
        <v>#REF!</v>
      </c>
      <c r="G38" s="39" t="e">
        <f t="shared" si="10"/>
        <v>#REF!</v>
      </c>
      <c r="H38" s="39" t="e">
        <f t="shared" si="10"/>
        <v>#REF!</v>
      </c>
      <c r="I38" s="39" t="e">
        <f t="shared" si="10"/>
        <v>#REF!</v>
      </c>
      <c r="J38" s="39" t="e">
        <f t="shared" si="10"/>
        <v>#REF!</v>
      </c>
      <c r="K38" s="39" t="e">
        <f t="shared" si="10"/>
        <v>#REF!</v>
      </c>
      <c r="L38" s="39" t="e">
        <f t="shared" si="10"/>
        <v>#REF!</v>
      </c>
      <c r="M38" s="39" t="e">
        <f t="shared" si="10"/>
        <v>#REF!</v>
      </c>
      <c r="N38" s="39" t="e">
        <f t="shared" si="10"/>
        <v>#REF!</v>
      </c>
      <c r="O38" s="39" t="e">
        <f t="shared" si="10"/>
        <v>#REF!</v>
      </c>
      <c r="P38" s="39" t="e">
        <f t="shared" si="10"/>
        <v>#REF!</v>
      </c>
      <c r="Q38" s="39" t="e">
        <f t="shared" si="10"/>
        <v>#REF!</v>
      </c>
      <c r="R38" s="39" t="e">
        <f t="shared" si="10"/>
        <v>#REF!</v>
      </c>
      <c r="S38" s="39" t="e">
        <f t="shared" si="10"/>
        <v>#REF!</v>
      </c>
      <c r="T38" s="39" t="e">
        <f t="shared" si="10"/>
        <v>#REF!</v>
      </c>
      <c r="U38" s="39" t="e">
        <f t="shared" si="10"/>
        <v>#REF!</v>
      </c>
      <c r="V38" s="39" t="e">
        <f t="shared" si="10"/>
        <v>#REF!</v>
      </c>
      <c r="W38" s="39" t="e">
        <f t="shared" si="10"/>
        <v>#REF!</v>
      </c>
      <c r="X38" s="39" t="e">
        <f t="shared" si="10"/>
        <v>#REF!</v>
      </c>
      <c r="Y38" s="39" t="e">
        <f t="shared" si="10"/>
        <v>#REF!</v>
      </c>
      <c r="Z38" s="39" t="e">
        <f t="shared" si="10"/>
        <v>#REF!</v>
      </c>
      <c r="AA38" s="39" t="e">
        <f t="shared" si="10"/>
        <v>#REF!</v>
      </c>
      <c r="AB38" s="39" t="e">
        <f t="shared" si="10"/>
        <v>#REF!</v>
      </c>
      <c r="AC38" s="39" t="e">
        <f t="shared" si="10"/>
        <v>#REF!</v>
      </c>
      <c r="AD38" s="39" t="e">
        <f t="shared" si="10"/>
        <v>#REF!</v>
      </c>
      <c r="AE38" s="39" t="e">
        <f t="shared" si="10"/>
        <v>#REF!</v>
      </c>
      <c r="AF38" s="39" t="e">
        <f t="shared" si="10"/>
        <v>#REF!</v>
      </c>
    </row>
  </sheetData>
  <mergeCells count="4">
    <mergeCell ref="A19:A26"/>
    <mergeCell ref="A27:A36"/>
    <mergeCell ref="J3:K3"/>
    <mergeCell ref="C16:H16"/>
  </mergeCells>
  <phoneticPr fontId="10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8C8E-9AFF-47CF-8DB2-D25335D5A395}">
  <sheetPr>
    <tabColor rgb="FF92D050"/>
  </sheetPr>
  <dimension ref="A1:Q224"/>
  <sheetViews>
    <sheetView topLeftCell="A10" zoomScaleNormal="100" workbookViewId="0">
      <selection activeCell="F155" sqref="F155"/>
    </sheetView>
  </sheetViews>
  <sheetFormatPr baseColWidth="10" defaultColWidth="11.5703125" defaultRowHeight="12" x14ac:dyDescent="0.2"/>
  <cols>
    <col min="1" max="1" width="5.28515625" style="4" customWidth="1"/>
    <col min="2" max="2" width="37.5703125" style="4" customWidth="1"/>
    <col min="3" max="3" width="21.5703125" style="4" customWidth="1"/>
    <col min="4" max="4" width="52.7109375" style="71" customWidth="1"/>
    <col min="5" max="5" width="7" style="3" customWidth="1"/>
    <col min="6" max="6" width="18.7109375" style="4" customWidth="1"/>
    <col min="7" max="7" width="21.140625" style="4" customWidth="1"/>
    <col min="8" max="9" width="16.28515625" style="4" customWidth="1"/>
    <col min="10" max="10" width="21.5703125" style="4" customWidth="1"/>
    <col min="11" max="11" width="24.7109375" style="4" customWidth="1"/>
    <col min="12" max="12" width="11.5703125" style="48"/>
    <col min="13" max="13" width="17.85546875" style="4" customWidth="1"/>
    <col min="14" max="15" width="15.85546875" style="4" customWidth="1"/>
    <col min="16" max="16" width="11.5703125" style="4" customWidth="1"/>
    <col min="17" max="16384" width="11.5703125" style="4"/>
  </cols>
  <sheetData>
    <row r="1" spans="1:11" ht="23.25" x14ac:dyDescent="0.2">
      <c r="A1" s="465" t="s">
        <v>206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</row>
    <row r="4" spans="1:11" ht="15" x14ac:dyDescent="0.25">
      <c r="A4" s="466" t="s">
        <v>7</v>
      </c>
      <c r="B4" s="468" t="s">
        <v>90</v>
      </c>
      <c r="C4" s="468"/>
      <c r="F4"/>
      <c r="G4" s="109" t="s">
        <v>74</v>
      </c>
      <c r="H4" s="109" t="s">
        <v>73</v>
      </c>
      <c r="I4" s="109" t="s">
        <v>145</v>
      </c>
    </row>
    <row r="5" spans="1:11" ht="15" x14ac:dyDescent="0.25">
      <c r="A5" s="466"/>
      <c r="B5" s="50" t="s">
        <v>91</v>
      </c>
      <c r="C5" s="51">
        <v>388</v>
      </c>
      <c r="F5" s="114" t="s">
        <v>0</v>
      </c>
      <c r="G5" s="110" t="e">
        <f>SUMIF(A26:A175,"CAPEX",H26:H175)</f>
        <v>#REF!</v>
      </c>
      <c r="H5" s="110" t="e">
        <f>SUMIF(A26:A175,"CAPEX",J26:J175)</f>
        <v>#REF!</v>
      </c>
      <c r="I5" s="111" t="e">
        <f>1-(H5/G5)</f>
        <v>#REF!</v>
      </c>
    </row>
    <row r="6" spans="1:11" ht="15" x14ac:dyDescent="0.25">
      <c r="A6" s="466"/>
      <c r="B6" s="50" t="s">
        <v>92</v>
      </c>
      <c r="C6" s="52">
        <v>0</v>
      </c>
      <c r="F6" s="114" t="s">
        <v>1</v>
      </c>
      <c r="G6" s="110" t="e">
        <f>SUMIF(A26:A175,"OPEX",H26:H175)</f>
        <v>#REF!</v>
      </c>
      <c r="H6" s="110" t="e">
        <f>SUMIF(A26:A175,"OPEX",J26:J175)</f>
        <v>#REF!</v>
      </c>
      <c r="I6" s="111" t="e">
        <f>1-(H6/G6)</f>
        <v>#REF!</v>
      </c>
    </row>
    <row r="7" spans="1:11" ht="15" x14ac:dyDescent="0.25">
      <c r="A7" s="466"/>
      <c r="B7" s="50" t="s">
        <v>93</v>
      </c>
      <c r="C7" s="53">
        <f>C5+C6</f>
        <v>388</v>
      </c>
      <c r="F7"/>
      <c r="G7" s="112" t="e">
        <f>SUM(G5:G6)</f>
        <v>#REF!</v>
      </c>
      <c r="H7" s="112" t="e">
        <f>SUM(H5:H6)</f>
        <v>#REF!</v>
      </c>
      <c r="I7" s="113" t="e">
        <f>1-(H7/G7)</f>
        <v>#REF!</v>
      </c>
      <c r="K7" s="77"/>
    </row>
    <row r="8" spans="1:11" x14ac:dyDescent="0.2">
      <c r="A8" s="466"/>
      <c r="B8" s="50" t="s">
        <v>98</v>
      </c>
      <c r="C8" s="57">
        <v>0.05</v>
      </c>
      <c r="K8" s="77"/>
    </row>
    <row r="9" spans="1:11" x14ac:dyDescent="0.2">
      <c r="A9" s="466"/>
      <c r="B9" s="50" t="s">
        <v>99</v>
      </c>
      <c r="C9" s="54"/>
    </row>
    <row r="10" spans="1:11" x14ac:dyDescent="0.2">
      <c r="A10" s="466"/>
      <c r="B10" s="50" t="s">
        <v>94</v>
      </c>
      <c r="C10" s="51">
        <v>970</v>
      </c>
    </row>
    <row r="11" spans="1:11" x14ac:dyDescent="0.2">
      <c r="A11" s="466"/>
      <c r="B11" s="50" t="s">
        <v>100</v>
      </c>
      <c r="C11" s="51">
        <v>0</v>
      </c>
    </row>
    <row r="12" spans="1:11" ht="15" x14ac:dyDescent="0.2">
      <c r="A12" s="466"/>
      <c r="B12" s="50" t="s">
        <v>101</v>
      </c>
      <c r="C12" s="51">
        <f>C10+C11</f>
        <v>970</v>
      </c>
      <c r="G12" s="109" t="s">
        <v>158</v>
      </c>
      <c r="H12" s="109" t="s">
        <v>159</v>
      </c>
      <c r="I12" s="109" t="s">
        <v>145</v>
      </c>
    </row>
    <row r="13" spans="1:11" ht="15" x14ac:dyDescent="0.2">
      <c r="A13" s="466"/>
      <c r="B13" s="50" t="s">
        <v>95</v>
      </c>
      <c r="C13" s="56">
        <f>C12/C7</f>
        <v>2.5</v>
      </c>
      <c r="G13" s="110" t="e">
        <f>G7/C7/C18</f>
        <v>#REF!</v>
      </c>
      <c r="H13" s="110" t="e">
        <f>H7/C7/C18</f>
        <v>#REF!</v>
      </c>
      <c r="I13" s="111" t="e">
        <f>1-(H13/G13)</f>
        <v>#REF!</v>
      </c>
    </row>
    <row r="14" spans="1:11" x14ac:dyDescent="0.2">
      <c r="A14" s="466"/>
      <c r="B14" s="50" t="s">
        <v>103</v>
      </c>
      <c r="C14" s="55">
        <v>3.8</v>
      </c>
    </row>
    <row r="15" spans="1:11" x14ac:dyDescent="0.2">
      <c r="A15" s="466"/>
      <c r="B15" s="50" t="s">
        <v>96</v>
      </c>
      <c r="C15" s="56">
        <f>G27+G28+G29+G33</f>
        <v>745.41428571428582</v>
      </c>
    </row>
    <row r="16" spans="1:11" x14ac:dyDescent="0.2">
      <c r="A16" s="466"/>
      <c r="B16" s="50" t="s">
        <v>102</v>
      </c>
      <c r="C16" s="51">
        <v>155</v>
      </c>
    </row>
    <row r="17" spans="1:13" x14ac:dyDescent="0.2">
      <c r="A17" s="466"/>
      <c r="B17" s="50" t="s">
        <v>97</v>
      </c>
      <c r="C17" s="51">
        <v>55</v>
      </c>
    </row>
    <row r="18" spans="1:13" x14ac:dyDescent="0.2">
      <c r="A18" s="466"/>
      <c r="B18" s="50" t="s">
        <v>104</v>
      </c>
      <c r="C18" s="51">
        <v>24</v>
      </c>
    </row>
    <row r="19" spans="1:13" x14ac:dyDescent="0.2">
      <c r="A19" s="466"/>
      <c r="B19" s="50" t="s">
        <v>16</v>
      </c>
      <c r="C19" s="57">
        <v>0.01</v>
      </c>
    </row>
    <row r="20" spans="1:13" x14ac:dyDescent="0.2">
      <c r="A20" s="467"/>
      <c r="B20" s="50" t="s">
        <v>14</v>
      </c>
      <c r="C20" s="51">
        <f>4950/C14</f>
        <v>1302.6315789473686</v>
      </c>
    </row>
    <row r="22" spans="1:13" x14ac:dyDescent="0.2">
      <c r="A22" s="469" t="s">
        <v>207</v>
      </c>
      <c r="B22" s="469"/>
      <c r="C22" s="469"/>
      <c r="D22" s="469"/>
      <c r="E22" s="469"/>
      <c r="F22" s="469"/>
      <c r="G22" s="469"/>
      <c r="H22" s="469"/>
      <c r="I22" s="469"/>
      <c r="J22" s="469"/>
      <c r="K22" s="469"/>
      <c r="L22" s="469"/>
    </row>
    <row r="24" spans="1:13" x14ac:dyDescent="0.2">
      <c r="A24" s="464" t="s">
        <v>127</v>
      </c>
      <c r="B24" s="464"/>
      <c r="C24" s="464"/>
      <c r="D24" s="464"/>
      <c r="E24" s="464"/>
      <c r="F24" s="464"/>
      <c r="G24" s="464"/>
      <c r="H24" s="464"/>
      <c r="I24" s="464"/>
      <c r="J24" s="464"/>
      <c r="K24" s="464"/>
      <c r="L24" s="464"/>
    </row>
    <row r="25" spans="1:13" x14ac:dyDescent="0.2">
      <c r="A25" s="58"/>
      <c r="B25" s="58" t="s">
        <v>125</v>
      </c>
      <c r="C25" s="59"/>
      <c r="D25" s="75"/>
      <c r="E25" s="96"/>
      <c r="F25" s="59"/>
      <c r="G25" s="59"/>
      <c r="H25" s="59"/>
      <c r="I25" s="59"/>
      <c r="J25" s="59"/>
      <c r="K25" s="59"/>
      <c r="L25" s="96"/>
    </row>
    <row r="26" spans="1:13" x14ac:dyDescent="0.2">
      <c r="B26" s="60" t="s">
        <v>105</v>
      </c>
      <c r="C26" s="60" t="s">
        <v>106</v>
      </c>
      <c r="D26" s="73" t="s">
        <v>68</v>
      </c>
      <c r="E26" s="2" t="s">
        <v>69</v>
      </c>
      <c r="F26" s="60" t="s">
        <v>107</v>
      </c>
      <c r="G26" s="60" t="s">
        <v>108</v>
      </c>
      <c r="H26" s="60" t="s">
        <v>109</v>
      </c>
      <c r="I26" s="60" t="s">
        <v>110</v>
      </c>
      <c r="J26" s="60" t="s">
        <v>111</v>
      </c>
      <c r="K26" s="60" t="s">
        <v>13</v>
      </c>
      <c r="L26" s="117" t="s">
        <v>194</v>
      </c>
    </row>
    <row r="27" spans="1:13" x14ac:dyDescent="0.2">
      <c r="A27" s="4" t="s">
        <v>0</v>
      </c>
      <c r="B27" s="4" t="s">
        <v>112</v>
      </c>
      <c r="C27" s="4" t="s">
        <v>113</v>
      </c>
      <c r="D27" s="71" t="s">
        <v>114</v>
      </c>
      <c r="E27" s="98">
        <f>$C$7</f>
        <v>388</v>
      </c>
      <c r="F27" s="4" t="s">
        <v>115</v>
      </c>
      <c r="G27" s="61">
        <f>I27/0.7</f>
        <v>109.71428571428572</v>
      </c>
      <c r="H27" s="62">
        <f>E27*G27</f>
        <v>42569.142857142862</v>
      </c>
      <c r="I27" s="4">
        <v>76.8</v>
      </c>
      <c r="J27" s="62">
        <f>E27*I27</f>
        <v>29798.399999999998</v>
      </c>
      <c r="K27" s="63">
        <f>1-(J27/H27)</f>
        <v>0.30000000000000016</v>
      </c>
      <c r="L27" s="48" t="s">
        <v>195</v>
      </c>
      <c r="M27" s="4" t="s">
        <v>203</v>
      </c>
    </row>
    <row r="28" spans="1:13" x14ac:dyDescent="0.2">
      <c r="A28" s="4" t="s">
        <v>0</v>
      </c>
      <c r="B28" s="4" t="s">
        <v>117</v>
      </c>
      <c r="C28" s="4" t="s">
        <v>118</v>
      </c>
      <c r="D28" s="71" t="s">
        <v>119</v>
      </c>
      <c r="E28" s="98">
        <v>0</v>
      </c>
      <c r="F28" s="4" t="s">
        <v>115</v>
      </c>
      <c r="G28" s="61">
        <f>I28/0.7</f>
        <v>426.52857142857147</v>
      </c>
      <c r="H28" s="62">
        <f>E28*G28</f>
        <v>0</v>
      </c>
      <c r="I28" s="4">
        <v>298.57</v>
      </c>
      <c r="J28" s="62">
        <f>E28*I28</f>
        <v>0</v>
      </c>
      <c r="K28" s="63" t="e">
        <f>1-(J28/H28)</f>
        <v>#DIV/0!</v>
      </c>
      <c r="L28" s="48" t="s">
        <v>195</v>
      </c>
      <c r="M28" s="4" t="s">
        <v>203</v>
      </c>
    </row>
    <row r="29" spans="1:13" x14ac:dyDescent="0.2">
      <c r="A29" s="4" t="s">
        <v>0</v>
      </c>
      <c r="B29" s="4" t="s">
        <v>122</v>
      </c>
      <c r="C29" s="4" t="s">
        <v>123</v>
      </c>
      <c r="D29" s="71" t="s">
        <v>116</v>
      </c>
      <c r="E29" s="98">
        <f t="shared" ref="E29" si="0">$C$7</f>
        <v>388</v>
      </c>
      <c r="F29" s="4" t="s">
        <v>115</v>
      </c>
      <c r="G29" s="61">
        <f>I29/0.7</f>
        <v>138.45714285714286</v>
      </c>
      <c r="H29" s="62">
        <f>E29*G29</f>
        <v>53721.37142857143</v>
      </c>
      <c r="I29" s="4">
        <v>96.92</v>
      </c>
      <c r="J29" s="62">
        <f>E29*I29</f>
        <v>37604.959999999999</v>
      </c>
      <c r="K29" s="63">
        <f>1-(J29/H29)</f>
        <v>0.30000000000000004</v>
      </c>
      <c r="L29" s="48" t="s">
        <v>195</v>
      </c>
      <c r="M29" s="4" t="s">
        <v>203</v>
      </c>
    </row>
    <row r="30" spans="1:13" x14ac:dyDescent="0.2">
      <c r="A30" s="4" t="s">
        <v>0</v>
      </c>
      <c r="B30" s="4" t="s">
        <v>186</v>
      </c>
      <c r="C30" s="4" t="s">
        <v>187</v>
      </c>
      <c r="D30" s="71" t="s">
        <v>188</v>
      </c>
      <c r="E30" s="98">
        <v>97</v>
      </c>
      <c r="F30" s="4" t="s">
        <v>115</v>
      </c>
      <c r="G30" s="61">
        <f t="shared" ref="G30:G32" si="1">I30/0.7</f>
        <v>410.3</v>
      </c>
      <c r="H30" s="62">
        <f t="shared" ref="H30:H32" si="2">E30*G30</f>
        <v>39799.1</v>
      </c>
      <c r="I30" s="4">
        <v>287.20999999999998</v>
      </c>
      <c r="J30" s="62">
        <f t="shared" ref="J30:J32" si="3">E30*I30</f>
        <v>27859.37</v>
      </c>
      <c r="K30" s="63">
        <f t="shared" ref="K30:K32" si="4">1-(J30/H30)</f>
        <v>0.30000000000000004</v>
      </c>
      <c r="L30" s="48" t="s">
        <v>195</v>
      </c>
      <c r="M30" s="4" t="s">
        <v>203</v>
      </c>
    </row>
    <row r="31" spans="1:13" x14ac:dyDescent="0.2">
      <c r="A31" s="4" t="s">
        <v>0</v>
      </c>
      <c r="B31" s="4" t="s">
        <v>189</v>
      </c>
      <c r="C31" s="4" t="s">
        <v>190</v>
      </c>
      <c r="D31" s="71" t="s">
        <v>191</v>
      </c>
      <c r="E31" s="98">
        <v>0</v>
      </c>
      <c r="F31" s="4" t="s">
        <v>115</v>
      </c>
      <c r="G31" s="61">
        <f t="shared" si="1"/>
        <v>129.4</v>
      </c>
      <c r="H31" s="62">
        <f t="shared" si="2"/>
        <v>0</v>
      </c>
      <c r="I31" s="4">
        <v>90.58</v>
      </c>
      <c r="J31" s="62">
        <f t="shared" si="3"/>
        <v>0</v>
      </c>
      <c r="K31" s="63" t="e">
        <f t="shared" si="4"/>
        <v>#DIV/0!</v>
      </c>
      <c r="L31" s="48" t="s">
        <v>195</v>
      </c>
      <c r="M31" s="4" t="s">
        <v>203</v>
      </c>
    </row>
    <row r="32" spans="1:13" x14ac:dyDescent="0.2">
      <c r="A32" s="4" t="s">
        <v>0</v>
      </c>
      <c r="C32" s="4" t="s">
        <v>124</v>
      </c>
      <c r="D32" s="71" t="s">
        <v>192</v>
      </c>
      <c r="E32" s="98">
        <v>388</v>
      </c>
      <c r="F32" s="4" t="s">
        <v>115</v>
      </c>
      <c r="G32" s="61">
        <f t="shared" si="1"/>
        <v>20</v>
      </c>
      <c r="H32" s="62">
        <f t="shared" si="2"/>
        <v>7760</v>
      </c>
      <c r="I32" s="4">
        <v>14</v>
      </c>
      <c r="J32" s="62">
        <f t="shared" si="3"/>
        <v>5432</v>
      </c>
      <c r="K32" s="63">
        <f t="shared" si="4"/>
        <v>0.30000000000000004</v>
      </c>
      <c r="L32" s="48" t="s">
        <v>195</v>
      </c>
      <c r="M32" s="4" t="s">
        <v>203</v>
      </c>
    </row>
    <row r="33" spans="1:13" ht="12.75" thickBot="1" x14ac:dyDescent="0.25">
      <c r="A33" s="4" t="s">
        <v>0</v>
      </c>
      <c r="B33" s="64">
        <v>611604104</v>
      </c>
      <c r="C33" s="4" t="s">
        <v>124</v>
      </c>
      <c r="D33" s="71" t="s">
        <v>121</v>
      </c>
      <c r="E33" s="98">
        <v>0</v>
      </c>
      <c r="F33" s="4" t="s">
        <v>115</v>
      </c>
      <c r="G33" s="65">
        <f>I33/0.7</f>
        <v>70.714285714285722</v>
      </c>
      <c r="H33" s="66">
        <f>E33*G33</f>
        <v>0</v>
      </c>
      <c r="I33" s="66">
        <v>49.5</v>
      </c>
      <c r="J33" s="66">
        <f>E33*I33</f>
        <v>0</v>
      </c>
      <c r="K33" s="67" t="e">
        <f>1-(J33/H33)</f>
        <v>#DIV/0!</v>
      </c>
      <c r="L33" s="48" t="s">
        <v>195</v>
      </c>
      <c r="M33" s="4" t="s">
        <v>203</v>
      </c>
    </row>
    <row r="34" spans="1:13" ht="12.75" thickTop="1" x14ac:dyDescent="0.2">
      <c r="G34" s="62"/>
      <c r="H34" s="62">
        <f>SUM(H27:H33)</f>
        <v>143849.61428571428</v>
      </c>
      <c r="I34" s="62"/>
      <c r="J34" s="62">
        <f>SUM(J27:J33)</f>
        <v>100694.73</v>
      </c>
      <c r="K34" s="63">
        <f>1-(J34/H34)</f>
        <v>0.30000000000000004</v>
      </c>
    </row>
    <row r="35" spans="1:13" ht="12.75" thickBot="1" x14ac:dyDescent="0.25">
      <c r="D35" s="71" t="s">
        <v>120</v>
      </c>
      <c r="E35" s="76">
        <v>0</v>
      </c>
      <c r="G35" s="62"/>
      <c r="H35" s="66">
        <f>-H34*E35</f>
        <v>0</v>
      </c>
      <c r="I35" s="62"/>
      <c r="J35" s="62"/>
      <c r="K35" s="63"/>
    </row>
    <row r="36" spans="1:13" ht="12.75" thickTop="1" x14ac:dyDescent="0.2">
      <c r="H36" s="68">
        <f>H34+H35</f>
        <v>143849.61428571428</v>
      </c>
      <c r="I36" s="69"/>
      <c r="J36" s="68">
        <f>J34</f>
        <v>100694.73</v>
      </c>
      <c r="K36" s="70">
        <f>1-(J36/H36)</f>
        <v>0.30000000000000004</v>
      </c>
    </row>
    <row r="37" spans="1:13" x14ac:dyDescent="0.2">
      <c r="H37" s="68"/>
      <c r="I37" s="69"/>
      <c r="J37" s="68"/>
      <c r="K37" s="70"/>
    </row>
    <row r="38" spans="1:13" x14ac:dyDescent="0.2">
      <c r="A38" s="58"/>
      <c r="B38" s="58" t="s">
        <v>126</v>
      </c>
      <c r="C38" s="59"/>
      <c r="D38" s="75"/>
      <c r="E38" s="96"/>
      <c r="F38" s="59"/>
      <c r="G38" s="59"/>
      <c r="H38" s="59"/>
      <c r="I38" s="59"/>
      <c r="J38" s="59"/>
      <c r="K38" s="59"/>
      <c r="L38" s="96"/>
    </row>
    <row r="39" spans="1:13" x14ac:dyDescent="0.2">
      <c r="B39" s="60" t="s">
        <v>105</v>
      </c>
      <c r="C39" s="60" t="s">
        <v>106</v>
      </c>
      <c r="D39" s="73" t="s">
        <v>68</v>
      </c>
      <c r="E39" s="2" t="s">
        <v>69</v>
      </c>
      <c r="F39" s="60" t="s">
        <v>107</v>
      </c>
      <c r="G39" s="60" t="s">
        <v>108</v>
      </c>
      <c r="H39" s="60" t="s">
        <v>109</v>
      </c>
      <c r="I39" s="60" t="s">
        <v>110</v>
      </c>
      <c r="J39" s="60" t="s">
        <v>111</v>
      </c>
      <c r="K39" s="60" t="s">
        <v>13</v>
      </c>
      <c r="L39" s="117" t="s">
        <v>194</v>
      </c>
    </row>
    <row r="40" spans="1:13" x14ac:dyDescent="0.2">
      <c r="A40" s="4" t="s">
        <v>0</v>
      </c>
      <c r="B40" s="4" t="s">
        <v>112</v>
      </c>
      <c r="C40" s="4" t="s">
        <v>113</v>
      </c>
      <c r="D40" s="71" t="s">
        <v>114</v>
      </c>
      <c r="E40" s="98">
        <f>ROUNDUP($C$8*$C$7,0)</f>
        <v>20</v>
      </c>
      <c r="F40" s="4" t="s">
        <v>115</v>
      </c>
      <c r="G40" s="61">
        <f>I40/0.7</f>
        <v>109.71428571428572</v>
      </c>
      <c r="H40" s="62">
        <f>E40*G40</f>
        <v>2194.2857142857147</v>
      </c>
      <c r="I40" s="4">
        <v>76.8</v>
      </c>
      <c r="J40" s="62">
        <f>E40*I40</f>
        <v>1536</v>
      </c>
      <c r="K40" s="63">
        <f>1-(J40/H40)</f>
        <v>0.30000000000000016</v>
      </c>
      <c r="L40" s="48" t="s">
        <v>195</v>
      </c>
      <c r="M40" s="4" t="s">
        <v>203</v>
      </c>
    </row>
    <row r="41" spans="1:13" x14ac:dyDescent="0.2">
      <c r="A41" s="4" t="s">
        <v>0</v>
      </c>
      <c r="B41" s="4" t="s">
        <v>117</v>
      </c>
      <c r="C41" s="4" t="s">
        <v>118</v>
      </c>
      <c r="D41" s="71" t="s">
        <v>119</v>
      </c>
      <c r="E41" s="98">
        <v>0</v>
      </c>
      <c r="F41" s="4" t="s">
        <v>115</v>
      </c>
      <c r="G41" s="61">
        <f>I41/0.7</f>
        <v>426.52857142857147</v>
      </c>
      <c r="H41" s="62">
        <f>E41*G41</f>
        <v>0</v>
      </c>
      <c r="I41" s="4">
        <v>298.57</v>
      </c>
      <c r="J41" s="62">
        <f>E41*I41</f>
        <v>0</v>
      </c>
      <c r="K41" s="63" t="e">
        <f>1-(J41/H41)</f>
        <v>#DIV/0!</v>
      </c>
      <c r="L41" s="48" t="s">
        <v>195</v>
      </c>
      <c r="M41" s="4" t="s">
        <v>203</v>
      </c>
    </row>
    <row r="42" spans="1:13" x14ac:dyDescent="0.2">
      <c r="A42" s="4" t="s">
        <v>0</v>
      </c>
      <c r="B42" s="4" t="s">
        <v>122</v>
      </c>
      <c r="C42" s="4" t="s">
        <v>123</v>
      </c>
      <c r="D42" s="71" t="s">
        <v>116</v>
      </c>
      <c r="E42" s="98">
        <f>ROUNDUP($C$8*$C$7,0)</f>
        <v>20</v>
      </c>
      <c r="F42" s="4" t="s">
        <v>115</v>
      </c>
      <c r="G42" s="61">
        <f>I42/0.7</f>
        <v>138.45714285714286</v>
      </c>
      <c r="H42" s="62">
        <f>E42*G42</f>
        <v>2769.1428571428569</v>
      </c>
      <c r="I42" s="4">
        <v>96.92</v>
      </c>
      <c r="J42" s="62">
        <f>E42*I42</f>
        <v>1938.4</v>
      </c>
      <c r="K42" s="63">
        <f>1-(J42/H42)</f>
        <v>0.29999999999999993</v>
      </c>
      <c r="L42" s="48" t="s">
        <v>195</v>
      </c>
      <c r="M42" s="4" t="s">
        <v>203</v>
      </c>
    </row>
    <row r="43" spans="1:13" x14ac:dyDescent="0.2">
      <c r="A43" s="4" t="s">
        <v>0</v>
      </c>
      <c r="B43" s="4" t="s">
        <v>186</v>
      </c>
      <c r="C43" s="4" t="s">
        <v>187</v>
      </c>
      <c r="D43" s="71" t="s">
        <v>188</v>
      </c>
      <c r="E43" s="98">
        <v>5</v>
      </c>
      <c r="F43" s="4" t="s">
        <v>115</v>
      </c>
      <c r="G43" s="61">
        <f t="shared" ref="G43:G45" si="5">I43/0.7</f>
        <v>410.3</v>
      </c>
      <c r="H43" s="62">
        <f t="shared" ref="H43:H45" si="6">E43*G43</f>
        <v>2051.5</v>
      </c>
      <c r="I43" s="4">
        <v>287.20999999999998</v>
      </c>
      <c r="J43" s="62">
        <f t="shared" ref="J43:J45" si="7">E43*I43</f>
        <v>1436.05</v>
      </c>
      <c r="K43" s="63">
        <f t="shared" ref="K43:K45" si="8">1-(J43/H43)</f>
        <v>0.30000000000000004</v>
      </c>
      <c r="L43" s="48" t="s">
        <v>195</v>
      </c>
      <c r="M43" s="4" t="s">
        <v>203</v>
      </c>
    </row>
    <row r="44" spans="1:13" x14ac:dyDescent="0.2">
      <c r="A44" s="4" t="s">
        <v>0</v>
      </c>
      <c r="B44" s="4" t="s">
        <v>189</v>
      </c>
      <c r="C44" s="4" t="s">
        <v>190</v>
      </c>
      <c r="D44" s="71" t="s">
        <v>191</v>
      </c>
      <c r="E44" s="98">
        <v>0</v>
      </c>
      <c r="F44" s="4" t="s">
        <v>115</v>
      </c>
      <c r="G44" s="61">
        <f t="shared" si="5"/>
        <v>129.4</v>
      </c>
      <c r="H44" s="62">
        <f t="shared" si="6"/>
        <v>0</v>
      </c>
      <c r="I44" s="4">
        <v>90.58</v>
      </c>
      <c r="J44" s="62">
        <f t="shared" si="7"/>
        <v>0</v>
      </c>
      <c r="K44" s="63" t="e">
        <f t="shared" si="8"/>
        <v>#DIV/0!</v>
      </c>
      <c r="L44" s="48" t="s">
        <v>195</v>
      </c>
      <c r="M44" s="4" t="s">
        <v>203</v>
      </c>
    </row>
    <row r="45" spans="1:13" x14ac:dyDescent="0.2">
      <c r="A45" s="4" t="s">
        <v>0</v>
      </c>
      <c r="C45" s="4" t="s">
        <v>124</v>
      </c>
      <c r="D45" s="71" t="s">
        <v>192</v>
      </c>
      <c r="E45" s="98">
        <v>20</v>
      </c>
      <c r="F45" s="4" t="s">
        <v>115</v>
      </c>
      <c r="G45" s="61">
        <f t="shared" si="5"/>
        <v>20</v>
      </c>
      <c r="H45" s="62">
        <f t="shared" si="6"/>
        <v>400</v>
      </c>
      <c r="I45" s="4">
        <v>14</v>
      </c>
      <c r="J45" s="62">
        <f t="shared" si="7"/>
        <v>280</v>
      </c>
      <c r="K45" s="63">
        <f t="shared" si="8"/>
        <v>0.30000000000000004</v>
      </c>
      <c r="L45" s="48" t="s">
        <v>195</v>
      </c>
      <c r="M45" s="4" t="s">
        <v>203</v>
      </c>
    </row>
    <row r="46" spans="1:13" ht="12.75" thickBot="1" x14ac:dyDescent="0.25">
      <c r="A46" s="4" t="s">
        <v>0</v>
      </c>
      <c r="B46" s="64">
        <v>611604104</v>
      </c>
      <c r="C46" s="4" t="s">
        <v>124</v>
      </c>
      <c r="D46" s="71" t="s">
        <v>121</v>
      </c>
      <c r="E46" s="98">
        <v>0</v>
      </c>
      <c r="F46" s="4" t="s">
        <v>115</v>
      </c>
      <c r="G46" s="65">
        <f>I46/0.7</f>
        <v>70.714285714285722</v>
      </c>
      <c r="H46" s="66">
        <f>E46*G46</f>
        <v>0</v>
      </c>
      <c r="I46" s="66">
        <v>49.5</v>
      </c>
      <c r="J46" s="66">
        <f>E46*I46</f>
        <v>0</v>
      </c>
      <c r="K46" s="67" t="e">
        <f>1-(J46/H46)</f>
        <v>#DIV/0!</v>
      </c>
      <c r="L46" s="48" t="s">
        <v>195</v>
      </c>
      <c r="M46" s="4" t="s">
        <v>203</v>
      </c>
    </row>
    <row r="47" spans="1:13" ht="12.75" thickTop="1" x14ac:dyDescent="0.2">
      <c r="G47" s="62"/>
      <c r="H47" s="62">
        <f>SUM(H40:H46)</f>
        <v>7414.9285714285716</v>
      </c>
      <c r="I47" s="62"/>
      <c r="J47" s="62">
        <f>SUM(J40:J46)</f>
        <v>5190.45</v>
      </c>
      <c r="K47" s="63">
        <f>1-(J47/H47)</f>
        <v>0.30000000000000004</v>
      </c>
    </row>
    <row r="48" spans="1:13" ht="12.75" thickBot="1" x14ac:dyDescent="0.25">
      <c r="D48" s="71" t="s">
        <v>120</v>
      </c>
      <c r="E48" s="76">
        <v>0</v>
      </c>
      <c r="G48" s="62"/>
      <c r="H48" s="66">
        <f>-H47*E48</f>
        <v>0</v>
      </c>
      <c r="I48" s="62"/>
      <c r="J48" s="62"/>
      <c r="K48" s="63"/>
    </row>
    <row r="49" spans="1:12" ht="12.75" thickTop="1" x14ac:dyDescent="0.2">
      <c r="H49" s="68">
        <f>H47+H48</f>
        <v>7414.9285714285716</v>
      </c>
      <c r="I49" s="69"/>
      <c r="J49" s="68">
        <f>J47</f>
        <v>5190.45</v>
      </c>
      <c r="K49" s="70">
        <f>1-(J49/H49)</f>
        <v>0.30000000000000004</v>
      </c>
    </row>
    <row r="50" spans="1:12" x14ac:dyDescent="0.2">
      <c r="A50" s="58"/>
      <c r="B50" s="58" t="s">
        <v>149</v>
      </c>
      <c r="C50" s="59"/>
      <c r="D50" s="75"/>
      <c r="E50" s="96"/>
      <c r="F50" s="59"/>
      <c r="G50" s="59"/>
      <c r="H50" s="59"/>
      <c r="I50" s="59"/>
      <c r="J50" s="59"/>
      <c r="K50" s="59"/>
      <c r="L50" s="96"/>
    </row>
    <row r="51" spans="1:12" x14ac:dyDescent="0.2">
      <c r="B51" s="60" t="s">
        <v>128</v>
      </c>
      <c r="C51" s="60" t="s">
        <v>106</v>
      </c>
      <c r="D51" s="73" t="s">
        <v>68</v>
      </c>
      <c r="E51" s="2" t="s">
        <v>69</v>
      </c>
      <c r="F51" s="60" t="s">
        <v>107</v>
      </c>
      <c r="G51" s="60" t="s">
        <v>108</v>
      </c>
      <c r="H51" s="60" t="s">
        <v>109</v>
      </c>
      <c r="I51" s="60" t="s">
        <v>110</v>
      </c>
      <c r="J51" s="60" t="s">
        <v>111</v>
      </c>
      <c r="K51" s="60" t="s">
        <v>13</v>
      </c>
      <c r="L51" s="117" t="s">
        <v>194</v>
      </c>
    </row>
    <row r="52" spans="1:12" x14ac:dyDescent="0.2">
      <c r="A52" s="4" t="s">
        <v>0</v>
      </c>
      <c r="D52" s="71" t="s">
        <v>150</v>
      </c>
      <c r="E52" s="98">
        <f>C7</f>
        <v>388</v>
      </c>
      <c r="F52" s="4" t="s">
        <v>115</v>
      </c>
      <c r="G52" s="61" t="e">
        <f>I52/0.75</f>
        <v>#REF!</v>
      </c>
      <c r="H52" s="62" t="e">
        <f>E52*G52</f>
        <v>#REF!</v>
      </c>
      <c r="I52" s="4" t="e">
        <f>#REF!+#REF!</f>
        <v>#REF!</v>
      </c>
      <c r="J52" s="62" t="e">
        <f>E52*I52</f>
        <v>#REF!</v>
      </c>
      <c r="K52" s="63" t="e">
        <f>1-(J52/H52)</f>
        <v>#REF!</v>
      </c>
      <c r="L52" s="48" t="s">
        <v>196</v>
      </c>
    </row>
    <row r="53" spans="1:12" ht="12.75" thickBot="1" x14ac:dyDescent="0.25">
      <c r="A53" s="4" t="s">
        <v>0</v>
      </c>
      <c r="E53" s="98">
        <f>ROUNDUP($C$8*$C$7,0)</f>
        <v>20</v>
      </c>
      <c r="F53" s="4" t="s">
        <v>115</v>
      </c>
      <c r="G53" s="65" t="e">
        <f>I53/0.75</f>
        <v>#REF!</v>
      </c>
      <c r="H53" s="66" t="e">
        <f>E53*G53</f>
        <v>#REF!</v>
      </c>
      <c r="I53" s="72" t="e">
        <f>#REF!+#REF!</f>
        <v>#REF!</v>
      </c>
      <c r="J53" s="66" t="e">
        <f>E53*I53</f>
        <v>#REF!</v>
      </c>
      <c r="K53" s="67" t="e">
        <f>1-(J53/H53)</f>
        <v>#REF!</v>
      </c>
      <c r="L53" s="48" t="s">
        <v>196</v>
      </c>
    </row>
    <row r="54" spans="1:12" ht="12.75" thickTop="1" x14ac:dyDescent="0.2">
      <c r="G54" s="62"/>
      <c r="H54" s="62" t="e">
        <f>SUM(H50:H53)</f>
        <v>#REF!</v>
      </c>
      <c r="I54" s="62"/>
      <c r="J54" s="62" t="e">
        <f>SUM(J50:J53)</f>
        <v>#REF!</v>
      </c>
      <c r="K54" s="63" t="e">
        <f>1-(J54/H54)</f>
        <v>#REF!</v>
      </c>
    </row>
    <row r="55" spans="1:12" ht="12.75" thickBot="1" x14ac:dyDescent="0.25">
      <c r="D55" s="71" t="s">
        <v>120</v>
      </c>
      <c r="E55" s="76">
        <v>0</v>
      </c>
      <c r="G55" s="62"/>
      <c r="H55" s="66" t="e">
        <f>-H54*E55</f>
        <v>#REF!</v>
      </c>
      <c r="I55" s="62"/>
      <c r="J55" s="62"/>
      <c r="K55" s="63"/>
    </row>
    <row r="56" spans="1:12" ht="12.75" thickTop="1" x14ac:dyDescent="0.2">
      <c r="H56" s="68" t="e">
        <f>H54+H55</f>
        <v>#REF!</v>
      </c>
      <c r="I56" s="69"/>
      <c r="J56" s="68" t="e">
        <f>J54</f>
        <v>#REF!</v>
      </c>
      <c r="K56" s="70" t="e">
        <f>1-(J56/H56)</f>
        <v>#REF!</v>
      </c>
    </row>
    <row r="58" spans="1:12" x14ac:dyDescent="0.2">
      <c r="A58" s="58"/>
      <c r="B58" s="58" t="s">
        <v>129</v>
      </c>
      <c r="C58" s="59"/>
      <c r="D58" s="75"/>
      <c r="E58" s="96"/>
      <c r="F58" s="59"/>
      <c r="G58" s="59"/>
      <c r="H58" s="59"/>
      <c r="I58" s="59"/>
      <c r="J58" s="59"/>
      <c r="K58" s="59"/>
      <c r="L58" s="96"/>
    </row>
    <row r="59" spans="1:12" x14ac:dyDescent="0.2">
      <c r="B59" s="60" t="s">
        <v>128</v>
      </c>
      <c r="C59" s="60" t="s">
        <v>106</v>
      </c>
      <c r="D59" s="73" t="s">
        <v>68</v>
      </c>
      <c r="E59" s="2" t="s">
        <v>69</v>
      </c>
      <c r="F59" s="60" t="s">
        <v>107</v>
      </c>
      <c r="G59" s="60" t="s">
        <v>108</v>
      </c>
      <c r="H59" s="60" t="s">
        <v>109</v>
      </c>
      <c r="I59" s="60" t="s">
        <v>110</v>
      </c>
      <c r="J59" s="60" t="s">
        <v>111</v>
      </c>
      <c r="K59" s="60" t="s">
        <v>13</v>
      </c>
      <c r="L59" s="117" t="s">
        <v>194</v>
      </c>
    </row>
    <row r="60" spans="1:12" x14ac:dyDescent="0.2">
      <c r="A60" s="4" t="s">
        <v>0</v>
      </c>
      <c r="D60" s="71" t="s">
        <v>151</v>
      </c>
      <c r="E60" s="98">
        <f>$C$7</f>
        <v>388</v>
      </c>
      <c r="F60" s="4" t="s">
        <v>115</v>
      </c>
      <c r="G60" s="61" t="e">
        <f>I60/0.75</f>
        <v>#REF!</v>
      </c>
      <c r="H60" s="62" t="e">
        <f>E60*G60</f>
        <v>#REF!</v>
      </c>
      <c r="I60" s="4" t="e">
        <f>#REF!</f>
        <v>#REF!</v>
      </c>
      <c r="J60" s="62" t="e">
        <f>E60*I60</f>
        <v>#REF!</v>
      </c>
      <c r="K60" s="63" t="e">
        <f>1-(J60/H60)</f>
        <v>#REF!</v>
      </c>
      <c r="L60" s="48" t="s">
        <v>196</v>
      </c>
    </row>
    <row r="61" spans="1:12" ht="12.75" thickBot="1" x14ac:dyDescent="0.25">
      <c r="A61" s="4" t="s">
        <v>0</v>
      </c>
      <c r="E61" s="98">
        <f>ROUNDUP($C$8*$C$7,0)</f>
        <v>20</v>
      </c>
      <c r="F61" s="4" t="s">
        <v>115</v>
      </c>
      <c r="G61" s="65" t="e">
        <f>I61/0.75</f>
        <v>#REF!</v>
      </c>
      <c r="H61" s="66" t="e">
        <f>E61*G61</f>
        <v>#REF!</v>
      </c>
      <c r="I61" s="72" t="e">
        <f>#REF!</f>
        <v>#REF!</v>
      </c>
      <c r="J61" s="66" t="e">
        <f>E61*I61</f>
        <v>#REF!</v>
      </c>
      <c r="K61" s="67" t="e">
        <f>1-(J61/H61)</f>
        <v>#REF!</v>
      </c>
      <c r="L61" s="48" t="s">
        <v>196</v>
      </c>
    </row>
    <row r="62" spans="1:12" ht="12.75" thickTop="1" x14ac:dyDescent="0.2">
      <c r="G62" s="62"/>
      <c r="H62" s="62" t="e">
        <f>SUM(H58:H61)</f>
        <v>#REF!</v>
      </c>
      <c r="I62" s="62"/>
      <c r="J62" s="62" t="e">
        <f>SUM(J58:J61)</f>
        <v>#REF!</v>
      </c>
      <c r="K62" s="63" t="e">
        <f>1-(J62/H62)</f>
        <v>#REF!</v>
      </c>
    </row>
    <row r="63" spans="1:12" ht="12.75" thickBot="1" x14ac:dyDescent="0.25">
      <c r="D63" s="71" t="s">
        <v>120</v>
      </c>
      <c r="E63" s="76">
        <v>0</v>
      </c>
      <c r="G63" s="62"/>
      <c r="H63" s="66" t="e">
        <f>-H62*E63</f>
        <v>#REF!</v>
      </c>
      <c r="I63" s="62"/>
      <c r="J63" s="62"/>
      <c r="K63" s="63"/>
    </row>
    <row r="64" spans="1:12" ht="12.75" thickTop="1" x14ac:dyDescent="0.2">
      <c r="H64" s="68" t="e">
        <f>H62+H63</f>
        <v>#REF!</v>
      </c>
      <c r="I64" s="69"/>
      <c r="J64" s="68" t="e">
        <f>J62</f>
        <v>#REF!</v>
      </c>
      <c r="K64" s="70" t="e">
        <f>1-(J64/H64)</f>
        <v>#REF!</v>
      </c>
    </row>
    <row r="66" spans="1:12" x14ac:dyDescent="0.2">
      <c r="A66" s="58"/>
      <c r="B66" s="58" t="s">
        <v>130</v>
      </c>
      <c r="C66" s="59"/>
      <c r="D66" s="75"/>
      <c r="E66" s="96"/>
      <c r="F66" s="59"/>
      <c r="G66" s="59"/>
      <c r="H66" s="59"/>
      <c r="I66" s="59"/>
      <c r="J66" s="59"/>
      <c r="K66" s="59"/>
      <c r="L66" s="96"/>
    </row>
    <row r="67" spans="1:12" x14ac:dyDescent="0.2">
      <c r="B67" s="60" t="s">
        <v>128</v>
      </c>
      <c r="C67" s="60" t="s">
        <v>106</v>
      </c>
      <c r="D67" s="73" t="s">
        <v>68</v>
      </c>
      <c r="E67" s="2" t="s">
        <v>69</v>
      </c>
      <c r="F67" s="60" t="s">
        <v>107</v>
      </c>
      <c r="G67" s="60" t="s">
        <v>108</v>
      </c>
      <c r="H67" s="60" t="s">
        <v>109</v>
      </c>
      <c r="I67" s="60" t="s">
        <v>110</v>
      </c>
      <c r="J67" s="60" t="s">
        <v>111</v>
      </c>
      <c r="K67" s="60" t="s">
        <v>13</v>
      </c>
      <c r="L67" s="117" t="s">
        <v>194</v>
      </c>
    </row>
    <row r="68" spans="1:12" ht="36" x14ac:dyDescent="0.2">
      <c r="A68" s="4" t="s">
        <v>0</v>
      </c>
      <c r="B68" s="4" t="s">
        <v>131</v>
      </c>
      <c r="C68" s="4" t="s">
        <v>132</v>
      </c>
      <c r="D68" s="71" t="s">
        <v>133</v>
      </c>
      <c r="E68" s="98">
        <f>$C$7</f>
        <v>388</v>
      </c>
      <c r="F68" s="4" t="s">
        <v>115</v>
      </c>
      <c r="G68" s="61" t="e">
        <f>I68/0.75</f>
        <v>#REF!</v>
      </c>
      <c r="H68" s="62" t="e">
        <f>E68*G68</f>
        <v>#REF!</v>
      </c>
      <c r="I68" s="4" t="e">
        <f>#REF!</f>
        <v>#REF!</v>
      </c>
      <c r="J68" s="62" t="e">
        <f>E68*I68</f>
        <v>#REF!</v>
      </c>
      <c r="K68" s="63" t="e">
        <f>1-(J68/H68)</f>
        <v>#REF!</v>
      </c>
      <c r="L68" s="48" t="s">
        <v>196</v>
      </c>
    </row>
    <row r="69" spans="1:12" ht="48.75" thickBot="1" x14ac:dyDescent="0.25">
      <c r="A69" s="4" t="s">
        <v>0</v>
      </c>
      <c r="B69" s="4" t="s">
        <v>131</v>
      </c>
      <c r="C69" s="4" t="s">
        <v>132</v>
      </c>
      <c r="D69" s="71" t="s">
        <v>134</v>
      </c>
      <c r="E69" s="98">
        <f>ROUNDUP($C$8*$C$7,0)</f>
        <v>20</v>
      </c>
      <c r="F69" s="4" t="s">
        <v>115</v>
      </c>
      <c r="G69" s="65" t="e">
        <f>I69/0.75</f>
        <v>#REF!</v>
      </c>
      <c r="H69" s="66" t="e">
        <f>E69*G69</f>
        <v>#REF!</v>
      </c>
      <c r="I69" s="72" t="e">
        <f>#REF!</f>
        <v>#REF!</v>
      </c>
      <c r="J69" s="66" t="e">
        <f>E69*I69</f>
        <v>#REF!</v>
      </c>
      <c r="K69" s="67" t="e">
        <f>1-(J69/H69)</f>
        <v>#REF!</v>
      </c>
      <c r="L69" s="48" t="s">
        <v>196</v>
      </c>
    </row>
    <row r="70" spans="1:12" ht="12.75" thickTop="1" x14ac:dyDescent="0.2">
      <c r="G70" s="62"/>
      <c r="H70" s="62" t="e">
        <f>SUM(H66:H69)</f>
        <v>#REF!</v>
      </c>
      <c r="I70" s="62"/>
      <c r="J70" s="62" t="e">
        <f>SUM(J66:J69)</f>
        <v>#REF!</v>
      </c>
      <c r="K70" s="63" t="e">
        <f>1-(J70/H70)</f>
        <v>#REF!</v>
      </c>
    </row>
    <row r="71" spans="1:12" ht="12.75" thickBot="1" x14ac:dyDescent="0.25">
      <c r="D71" s="71" t="s">
        <v>120</v>
      </c>
      <c r="E71" s="76">
        <v>0</v>
      </c>
      <c r="G71" s="62"/>
      <c r="H71" s="66" t="e">
        <f>-H70*E71</f>
        <v>#REF!</v>
      </c>
      <c r="I71" s="62"/>
      <c r="J71" s="62"/>
      <c r="K71" s="63"/>
    </row>
    <row r="72" spans="1:12" ht="12.75" thickTop="1" x14ac:dyDescent="0.2">
      <c r="H72" s="68" t="e">
        <f>H70+H71</f>
        <v>#REF!</v>
      </c>
      <c r="I72" s="69"/>
      <c r="J72" s="68" t="e">
        <f>J70</f>
        <v>#REF!</v>
      </c>
      <c r="K72" s="70" t="e">
        <f>1-(J72/H72)</f>
        <v>#REF!</v>
      </c>
    </row>
    <row r="74" spans="1:12" x14ac:dyDescent="0.2">
      <c r="A74" s="58"/>
      <c r="B74" s="58" t="s">
        <v>135</v>
      </c>
      <c r="C74" s="59"/>
      <c r="D74" s="75"/>
      <c r="E74" s="96"/>
      <c r="F74" s="59"/>
      <c r="G74" s="59"/>
      <c r="H74" s="59"/>
      <c r="I74" s="59"/>
      <c r="J74" s="59"/>
      <c r="K74" s="59"/>
      <c r="L74" s="96"/>
    </row>
    <row r="75" spans="1:12" x14ac:dyDescent="0.2">
      <c r="B75" s="60" t="s">
        <v>128</v>
      </c>
      <c r="C75" s="60" t="s">
        <v>106</v>
      </c>
      <c r="D75" s="73" t="s">
        <v>68</v>
      </c>
      <c r="E75" s="2" t="s">
        <v>69</v>
      </c>
      <c r="F75" s="60" t="s">
        <v>107</v>
      </c>
      <c r="G75" s="60" t="s">
        <v>108</v>
      </c>
      <c r="H75" s="60" t="s">
        <v>109</v>
      </c>
      <c r="I75" s="60" t="s">
        <v>110</v>
      </c>
      <c r="J75" s="60" t="s">
        <v>111</v>
      </c>
      <c r="K75" s="60" t="s">
        <v>13</v>
      </c>
      <c r="L75" s="117" t="s">
        <v>194</v>
      </c>
    </row>
    <row r="76" spans="1:12" ht="12.75" thickBot="1" x14ac:dyDescent="0.25">
      <c r="A76" s="4" t="s">
        <v>0</v>
      </c>
      <c r="D76" s="71" t="s">
        <v>173</v>
      </c>
      <c r="E76" s="98">
        <v>1</v>
      </c>
      <c r="F76" s="4" t="s">
        <v>115</v>
      </c>
      <c r="G76" s="65">
        <f>I76/0.75</f>
        <v>6666.666666666667</v>
      </c>
      <c r="H76" s="66">
        <f>E76*G76</f>
        <v>6666.666666666667</v>
      </c>
      <c r="I76" s="74">
        <v>5000</v>
      </c>
      <c r="J76" s="66">
        <f>E76*I76</f>
        <v>5000</v>
      </c>
      <c r="K76" s="67">
        <f>1-(J76/H76)</f>
        <v>0.25</v>
      </c>
      <c r="L76" s="48" t="s">
        <v>196</v>
      </c>
    </row>
    <row r="77" spans="1:12" ht="12.75" thickTop="1" x14ac:dyDescent="0.2">
      <c r="G77" s="62"/>
      <c r="H77" s="62">
        <f>SUM(H74:H76)</f>
        <v>6666.666666666667</v>
      </c>
      <c r="I77" s="62"/>
      <c r="J77" s="62">
        <f>SUM(J74:J76)</f>
        <v>5000</v>
      </c>
      <c r="K77" s="63">
        <f>1-(J77/H77)</f>
        <v>0.25</v>
      </c>
    </row>
    <row r="78" spans="1:12" ht="12.75" thickBot="1" x14ac:dyDescent="0.25">
      <c r="D78" s="71" t="s">
        <v>120</v>
      </c>
      <c r="E78" s="76">
        <v>0</v>
      </c>
      <c r="G78" s="62"/>
      <c r="H78" s="66">
        <f>-H77*E78</f>
        <v>0</v>
      </c>
      <c r="I78" s="62"/>
      <c r="J78" s="62"/>
      <c r="K78" s="63"/>
    </row>
    <row r="79" spans="1:12" ht="12.75" thickTop="1" x14ac:dyDescent="0.2">
      <c r="H79" s="68">
        <f>H77+H78</f>
        <v>6666.666666666667</v>
      </c>
      <c r="I79" s="69"/>
      <c r="J79" s="68">
        <f>J77</f>
        <v>5000</v>
      </c>
      <c r="K79" s="70">
        <f>1-(J79/H79)</f>
        <v>0.25</v>
      </c>
    </row>
    <row r="81" spans="1:12" x14ac:dyDescent="0.2">
      <c r="A81" s="58"/>
      <c r="B81" s="58" t="s">
        <v>174</v>
      </c>
      <c r="C81" s="59"/>
      <c r="D81" s="75"/>
      <c r="E81" s="96"/>
      <c r="F81" s="59"/>
      <c r="G81" s="59"/>
      <c r="H81" s="59"/>
      <c r="I81" s="59"/>
      <c r="J81" s="59"/>
      <c r="K81" s="59"/>
      <c r="L81" s="96"/>
    </row>
    <row r="82" spans="1:12" x14ac:dyDescent="0.2">
      <c r="B82" s="60" t="s">
        <v>128</v>
      </c>
      <c r="C82" s="60" t="s">
        <v>106</v>
      </c>
      <c r="D82" s="73" t="s">
        <v>68</v>
      </c>
      <c r="E82" s="2" t="s">
        <v>69</v>
      </c>
      <c r="F82" s="60" t="s">
        <v>107</v>
      </c>
      <c r="G82" s="60" t="s">
        <v>108</v>
      </c>
      <c r="H82" s="60" t="s">
        <v>109</v>
      </c>
      <c r="I82" s="60" t="s">
        <v>110</v>
      </c>
      <c r="J82" s="60" t="s">
        <v>111</v>
      </c>
      <c r="K82" s="60" t="s">
        <v>13</v>
      </c>
      <c r="L82" s="117" t="s">
        <v>194</v>
      </c>
    </row>
    <row r="83" spans="1:12" x14ac:dyDescent="0.2">
      <c r="A83" s="4" t="s">
        <v>0</v>
      </c>
      <c r="D83" s="71" t="s">
        <v>175</v>
      </c>
      <c r="E83" s="98">
        <v>1</v>
      </c>
      <c r="F83" s="4" t="s">
        <v>115</v>
      </c>
      <c r="G83" s="61" t="e">
        <f t="shared" ref="G83:G91" si="9">I83/0.75</f>
        <v>#REF!</v>
      </c>
      <c r="H83" s="62" t="e">
        <f>E83*G83</f>
        <v>#REF!</v>
      </c>
      <c r="I83" s="4" t="e">
        <f>#REF!</f>
        <v>#REF!</v>
      </c>
      <c r="J83" s="62" t="e">
        <f>E83*I83</f>
        <v>#REF!</v>
      </c>
      <c r="K83" s="63" t="e">
        <f t="shared" ref="K83:K93" si="10">1-(J83/H83)</f>
        <v>#REF!</v>
      </c>
      <c r="L83" s="48" t="s">
        <v>196</v>
      </c>
    </row>
    <row r="84" spans="1:12" x14ac:dyDescent="0.2">
      <c r="A84" s="4" t="s">
        <v>0</v>
      </c>
      <c r="D84" s="71" t="s">
        <v>176</v>
      </c>
      <c r="E84" s="98">
        <v>0</v>
      </c>
      <c r="F84" s="4" t="s">
        <v>115</v>
      </c>
      <c r="G84" s="61">
        <f t="shared" si="9"/>
        <v>0</v>
      </c>
      <c r="H84" s="62">
        <f>E84*G84*$C$18</f>
        <v>0</v>
      </c>
      <c r="I84" s="4">
        <v>0</v>
      </c>
      <c r="J84" s="62">
        <f>E84*I84*$C$18</f>
        <v>0</v>
      </c>
      <c r="K84" s="63" t="e">
        <f t="shared" si="10"/>
        <v>#DIV/0!</v>
      </c>
      <c r="L84" s="48" t="s">
        <v>196</v>
      </c>
    </row>
    <row r="85" spans="1:12" x14ac:dyDescent="0.2">
      <c r="A85" s="4" t="s">
        <v>0</v>
      </c>
      <c r="D85" s="71" t="s">
        <v>177</v>
      </c>
      <c r="E85" s="98">
        <v>0</v>
      </c>
      <c r="F85" s="4" t="s">
        <v>115</v>
      </c>
      <c r="G85" s="61">
        <f t="shared" si="9"/>
        <v>0</v>
      </c>
      <c r="H85" s="62">
        <f>E85*G85*$C$18</f>
        <v>0</v>
      </c>
      <c r="I85" s="4">
        <v>0</v>
      </c>
      <c r="J85" s="62">
        <f>E85*I85*$C$18</f>
        <v>0</v>
      </c>
      <c r="K85" s="63" t="e">
        <f t="shared" si="10"/>
        <v>#DIV/0!</v>
      </c>
      <c r="L85" s="48" t="s">
        <v>196</v>
      </c>
    </row>
    <row r="86" spans="1:12" x14ac:dyDescent="0.2">
      <c r="A86" s="4" t="s">
        <v>0</v>
      </c>
      <c r="D86" s="71" t="s">
        <v>178</v>
      </c>
      <c r="E86" s="98">
        <v>0</v>
      </c>
      <c r="F86" s="4" t="s">
        <v>115</v>
      </c>
      <c r="G86" s="61">
        <f t="shared" si="9"/>
        <v>0</v>
      </c>
      <c r="H86" s="62">
        <f>E86*G86*$C$18</f>
        <v>0</v>
      </c>
      <c r="I86" s="4">
        <v>0</v>
      </c>
      <c r="J86" s="62">
        <f>E86*I86*$C$18</f>
        <v>0</v>
      </c>
      <c r="K86" s="63" t="e">
        <f t="shared" si="10"/>
        <v>#DIV/0!</v>
      </c>
      <c r="L86" s="48" t="s">
        <v>196</v>
      </c>
    </row>
    <row r="87" spans="1:12" x14ac:dyDescent="0.2">
      <c r="A87" s="4" t="s">
        <v>0</v>
      </c>
      <c r="D87" s="71" t="s">
        <v>179</v>
      </c>
      <c r="E87" s="98">
        <v>0</v>
      </c>
      <c r="F87" s="4" t="s">
        <v>115</v>
      </c>
      <c r="G87" s="61">
        <f t="shared" si="9"/>
        <v>0</v>
      </c>
      <c r="H87" s="62">
        <f>E87*G87*$C$18</f>
        <v>0</v>
      </c>
      <c r="I87" s="4">
        <v>0</v>
      </c>
      <c r="J87" s="62">
        <f>E87*I87*$C$18</f>
        <v>0</v>
      </c>
      <c r="K87" s="63" t="e">
        <f t="shared" si="10"/>
        <v>#DIV/0!</v>
      </c>
      <c r="L87" s="48" t="s">
        <v>196</v>
      </c>
    </row>
    <row r="88" spans="1:12" x14ac:dyDescent="0.2">
      <c r="A88" s="4" t="s">
        <v>0</v>
      </c>
      <c r="D88" s="71" t="s">
        <v>180</v>
      </c>
      <c r="E88" s="98">
        <v>0</v>
      </c>
      <c r="F88" s="4" t="s">
        <v>115</v>
      </c>
      <c r="G88" s="61">
        <f t="shared" si="9"/>
        <v>0</v>
      </c>
      <c r="H88" s="62">
        <f>E88*G88</f>
        <v>0</v>
      </c>
      <c r="I88" s="4">
        <v>0</v>
      </c>
      <c r="J88" s="62">
        <f>E88*I88</f>
        <v>0</v>
      </c>
      <c r="K88" s="63" t="e">
        <f t="shared" si="10"/>
        <v>#DIV/0!</v>
      </c>
      <c r="L88" s="48" t="s">
        <v>196</v>
      </c>
    </row>
    <row r="89" spans="1:12" x14ac:dyDescent="0.2">
      <c r="A89" s="4" t="s">
        <v>0</v>
      </c>
      <c r="E89" s="98"/>
      <c r="F89" s="4" t="s">
        <v>115</v>
      </c>
      <c r="G89" s="61">
        <f t="shared" si="9"/>
        <v>0</v>
      </c>
      <c r="H89" s="62">
        <f t="shared" ref="H89:H92" si="11">E89*G89</f>
        <v>0</v>
      </c>
      <c r="J89" s="62">
        <f t="shared" ref="J89:J92" si="12">E89*I89</f>
        <v>0</v>
      </c>
      <c r="K89" s="63" t="e">
        <f t="shared" si="10"/>
        <v>#DIV/0!</v>
      </c>
      <c r="L89" s="48" t="s">
        <v>196</v>
      </c>
    </row>
    <row r="90" spans="1:12" x14ac:dyDescent="0.2">
      <c r="A90" s="4" t="s">
        <v>0</v>
      </c>
      <c r="E90" s="98"/>
      <c r="F90" s="4" t="s">
        <v>115</v>
      </c>
      <c r="G90" s="61">
        <f t="shared" si="9"/>
        <v>0</v>
      </c>
      <c r="H90" s="62">
        <f t="shared" si="11"/>
        <v>0</v>
      </c>
      <c r="J90" s="62">
        <f t="shared" si="12"/>
        <v>0</v>
      </c>
      <c r="K90" s="63" t="e">
        <f t="shared" si="10"/>
        <v>#DIV/0!</v>
      </c>
      <c r="L90" s="48" t="s">
        <v>196</v>
      </c>
    </row>
    <row r="91" spans="1:12" x14ac:dyDescent="0.2">
      <c r="A91" s="4" t="s">
        <v>0</v>
      </c>
      <c r="E91" s="98"/>
      <c r="F91" s="4" t="s">
        <v>115</v>
      </c>
      <c r="G91" s="61">
        <f t="shared" si="9"/>
        <v>0</v>
      </c>
      <c r="H91" s="62">
        <f t="shared" si="11"/>
        <v>0</v>
      </c>
      <c r="J91" s="62">
        <f t="shared" si="12"/>
        <v>0</v>
      </c>
      <c r="K91" s="63" t="e">
        <f t="shared" si="10"/>
        <v>#DIV/0!</v>
      </c>
      <c r="L91" s="48" t="s">
        <v>196</v>
      </c>
    </row>
    <row r="92" spans="1:12" ht="12.75" thickBot="1" x14ac:dyDescent="0.25">
      <c r="B92" s="64"/>
      <c r="E92" s="98"/>
      <c r="F92" s="4" t="s">
        <v>115</v>
      </c>
      <c r="G92" s="61">
        <f t="shared" ref="G92" si="13">I92/0.6</f>
        <v>0</v>
      </c>
      <c r="H92" s="66">
        <f t="shared" si="11"/>
        <v>0</v>
      </c>
      <c r="I92" s="72">
        <v>0</v>
      </c>
      <c r="J92" s="66">
        <f t="shared" si="12"/>
        <v>0</v>
      </c>
      <c r="K92" s="67" t="e">
        <f t="shared" si="10"/>
        <v>#DIV/0!</v>
      </c>
      <c r="L92" s="48" t="s">
        <v>196</v>
      </c>
    </row>
    <row r="93" spans="1:12" ht="12.75" thickTop="1" x14ac:dyDescent="0.2">
      <c r="G93" s="62"/>
      <c r="H93" s="62" t="e">
        <f>SUM(H83:H92)</f>
        <v>#REF!</v>
      </c>
      <c r="I93" s="62"/>
      <c r="J93" s="62" t="e">
        <f>SUM(J83:J92)</f>
        <v>#REF!</v>
      </c>
      <c r="K93" s="63" t="e">
        <f t="shared" si="10"/>
        <v>#REF!</v>
      </c>
    </row>
    <row r="94" spans="1:12" ht="12.75" thickBot="1" x14ac:dyDescent="0.25">
      <c r="D94" s="71" t="s">
        <v>120</v>
      </c>
      <c r="E94" s="76">
        <v>0</v>
      </c>
      <c r="G94" s="62"/>
      <c r="H94" s="66" t="e">
        <f>-H93*E94</f>
        <v>#REF!</v>
      </c>
      <c r="I94" s="62"/>
      <c r="J94" s="62"/>
      <c r="K94" s="63"/>
    </row>
    <row r="95" spans="1:12" ht="12.75" thickTop="1" x14ac:dyDescent="0.2">
      <c r="H95" s="68" t="e">
        <f>H93+H94</f>
        <v>#REF!</v>
      </c>
      <c r="I95" s="69"/>
      <c r="J95" s="68" t="e">
        <f>J93</f>
        <v>#REF!</v>
      </c>
      <c r="K95" s="70" t="e">
        <f>1-(J95/H95)</f>
        <v>#REF!</v>
      </c>
    </row>
    <row r="96" spans="1:12" x14ac:dyDescent="0.2">
      <c r="A96" s="58"/>
      <c r="B96" s="58" t="s">
        <v>148</v>
      </c>
      <c r="C96" s="59"/>
      <c r="D96" s="75"/>
      <c r="E96" s="96"/>
      <c r="F96" s="59"/>
      <c r="G96" s="59"/>
      <c r="H96" s="59"/>
      <c r="I96" s="59"/>
      <c r="J96" s="59"/>
      <c r="K96" s="59"/>
      <c r="L96" s="96"/>
    </row>
    <row r="97" spans="1:12" x14ac:dyDescent="0.2">
      <c r="B97" s="60" t="s">
        <v>128</v>
      </c>
      <c r="C97" s="60" t="s">
        <v>106</v>
      </c>
      <c r="D97" s="73" t="s">
        <v>68</v>
      </c>
      <c r="E97" s="2" t="s">
        <v>69</v>
      </c>
      <c r="F97" s="60" t="s">
        <v>107</v>
      </c>
      <c r="G97" s="60" t="s">
        <v>108</v>
      </c>
      <c r="H97" s="60" t="s">
        <v>109</v>
      </c>
      <c r="I97" s="60" t="s">
        <v>110</v>
      </c>
      <c r="J97" s="60" t="s">
        <v>111</v>
      </c>
      <c r="K97" s="60" t="s">
        <v>13</v>
      </c>
      <c r="L97" s="117" t="s">
        <v>194</v>
      </c>
    </row>
    <row r="98" spans="1:12" x14ac:dyDescent="0.2">
      <c r="A98" s="4" t="s">
        <v>0</v>
      </c>
      <c r="B98" s="4" t="s">
        <v>171</v>
      </c>
      <c r="D98" s="71" t="s">
        <v>154</v>
      </c>
      <c r="E98" s="98">
        <f>C7*2</f>
        <v>776</v>
      </c>
      <c r="F98" s="4" t="s">
        <v>115</v>
      </c>
      <c r="G98" s="61" t="e">
        <f t="shared" ref="G98:G107" si="14">I98/0.75</f>
        <v>#REF!</v>
      </c>
      <c r="H98" s="62" t="e">
        <f t="shared" ref="H98:H108" si="15">E98*G98</f>
        <v>#REF!</v>
      </c>
      <c r="I98" s="61" t="e">
        <f>#REF!</f>
        <v>#REF!</v>
      </c>
      <c r="J98" s="62" t="e">
        <f t="shared" ref="J98:J108" si="16">E98*I98</f>
        <v>#REF!</v>
      </c>
      <c r="K98" s="63" t="e">
        <f t="shared" ref="K98:K109" si="17">1-(J98/H98)</f>
        <v>#REF!</v>
      </c>
      <c r="L98" s="48" t="s">
        <v>196</v>
      </c>
    </row>
    <row r="99" spans="1:12" ht="25.35" customHeight="1" x14ac:dyDescent="0.2">
      <c r="A99" s="4" t="s">
        <v>0</v>
      </c>
      <c r="B99" s="4" t="s">
        <v>171</v>
      </c>
      <c r="D99" s="71" t="s">
        <v>172</v>
      </c>
      <c r="E99" s="98">
        <f>C7*2</f>
        <v>776</v>
      </c>
      <c r="F99" s="4" t="s">
        <v>115</v>
      </c>
      <c r="G99" s="61" t="e">
        <f t="shared" si="14"/>
        <v>#REF!</v>
      </c>
      <c r="H99" s="62" t="e">
        <f t="shared" si="15"/>
        <v>#REF!</v>
      </c>
      <c r="I99" s="61" t="e">
        <f>#REF!</f>
        <v>#REF!</v>
      </c>
      <c r="J99" s="62" t="e">
        <f t="shared" si="16"/>
        <v>#REF!</v>
      </c>
      <c r="K99" s="63" t="e">
        <f t="shared" si="17"/>
        <v>#REF!</v>
      </c>
      <c r="L99" s="48" t="s">
        <v>196</v>
      </c>
    </row>
    <row r="100" spans="1:12" x14ac:dyDescent="0.2">
      <c r="A100" s="4" t="s">
        <v>0</v>
      </c>
      <c r="B100" s="4" t="s">
        <v>171</v>
      </c>
      <c r="D100" s="71" t="s">
        <v>155</v>
      </c>
      <c r="E100" s="98">
        <f>C7*2</f>
        <v>776</v>
      </c>
      <c r="F100" s="4" t="s">
        <v>115</v>
      </c>
      <c r="G100" s="61" t="e">
        <f t="shared" si="14"/>
        <v>#REF!</v>
      </c>
      <c r="H100" s="62" t="e">
        <f t="shared" si="15"/>
        <v>#REF!</v>
      </c>
      <c r="I100" s="61" t="e">
        <f>#REF!</f>
        <v>#REF!</v>
      </c>
      <c r="J100" s="62" t="e">
        <f t="shared" si="16"/>
        <v>#REF!</v>
      </c>
      <c r="K100" s="63" t="e">
        <f t="shared" si="17"/>
        <v>#REF!</v>
      </c>
      <c r="L100" s="48" t="s">
        <v>196</v>
      </c>
    </row>
    <row r="101" spans="1:12" ht="24" x14ac:dyDescent="0.2">
      <c r="A101" s="4" t="s">
        <v>0</v>
      </c>
      <c r="B101" s="4" t="s">
        <v>171</v>
      </c>
      <c r="D101" s="71" t="s">
        <v>156</v>
      </c>
      <c r="E101" s="98">
        <f>C7*2</f>
        <v>776</v>
      </c>
      <c r="F101" s="4" t="s">
        <v>115</v>
      </c>
      <c r="G101" s="61" t="e">
        <f t="shared" si="14"/>
        <v>#REF!</v>
      </c>
      <c r="H101" s="62" t="e">
        <f t="shared" si="15"/>
        <v>#REF!</v>
      </c>
      <c r="I101" s="61" t="e">
        <f>#REF!</f>
        <v>#REF!</v>
      </c>
      <c r="J101" s="62" t="e">
        <f t="shared" si="16"/>
        <v>#REF!</v>
      </c>
      <c r="K101" s="63" t="e">
        <f t="shared" si="17"/>
        <v>#REF!</v>
      </c>
      <c r="L101" s="48" t="s">
        <v>196</v>
      </c>
    </row>
    <row r="102" spans="1:12" x14ac:dyDescent="0.2">
      <c r="A102" s="4" t="s">
        <v>0</v>
      </c>
      <c r="B102" s="4" t="s">
        <v>171</v>
      </c>
      <c r="D102" s="71" t="s">
        <v>154</v>
      </c>
      <c r="E102" s="98">
        <f>ROUNDUP($C$8*$C$7,0)*2</f>
        <v>40</v>
      </c>
      <c r="F102" s="4" t="s">
        <v>115</v>
      </c>
      <c r="G102" s="61" t="e">
        <f t="shared" si="14"/>
        <v>#REF!</v>
      </c>
      <c r="H102" s="62" t="e">
        <f t="shared" si="15"/>
        <v>#REF!</v>
      </c>
      <c r="I102" s="61" t="e">
        <f>#REF!</f>
        <v>#REF!</v>
      </c>
      <c r="J102" s="62" t="e">
        <f t="shared" si="16"/>
        <v>#REF!</v>
      </c>
      <c r="K102" s="63" t="e">
        <f t="shared" si="17"/>
        <v>#REF!</v>
      </c>
      <c r="L102" s="48" t="s">
        <v>196</v>
      </c>
    </row>
    <row r="103" spans="1:12" ht="24" x14ac:dyDescent="0.2">
      <c r="A103" s="4" t="s">
        <v>0</v>
      </c>
      <c r="B103" s="4" t="s">
        <v>171</v>
      </c>
      <c r="D103" s="71" t="s">
        <v>172</v>
      </c>
      <c r="E103" s="98">
        <f>ROUNDUP($C$8*$C$7,0)*2</f>
        <v>40</v>
      </c>
      <c r="F103" s="4" t="s">
        <v>115</v>
      </c>
      <c r="G103" s="61" t="e">
        <f t="shared" si="14"/>
        <v>#REF!</v>
      </c>
      <c r="H103" s="62" t="e">
        <f t="shared" si="15"/>
        <v>#REF!</v>
      </c>
      <c r="I103" s="61" t="e">
        <f>#REF!</f>
        <v>#REF!</v>
      </c>
      <c r="J103" s="62" t="e">
        <f t="shared" si="16"/>
        <v>#REF!</v>
      </c>
      <c r="K103" s="63" t="e">
        <f t="shared" si="17"/>
        <v>#REF!</v>
      </c>
      <c r="L103" s="48" t="s">
        <v>196</v>
      </c>
    </row>
    <row r="104" spans="1:12" x14ac:dyDescent="0.2">
      <c r="A104" s="4" t="s">
        <v>0</v>
      </c>
      <c r="B104" s="4" t="s">
        <v>171</v>
      </c>
      <c r="D104" s="71" t="s">
        <v>155</v>
      </c>
      <c r="E104" s="98">
        <f>ROUNDUP($C$8*$C$7,0)*2</f>
        <v>40</v>
      </c>
      <c r="F104" s="4" t="s">
        <v>115</v>
      </c>
      <c r="G104" s="61" t="e">
        <f t="shared" si="14"/>
        <v>#REF!</v>
      </c>
      <c r="H104" s="62" t="e">
        <f t="shared" si="15"/>
        <v>#REF!</v>
      </c>
      <c r="I104" s="61" t="e">
        <f>#REF!</f>
        <v>#REF!</v>
      </c>
      <c r="J104" s="62" t="e">
        <f t="shared" si="16"/>
        <v>#REF!</v>
      </c>
      <c r="K104" s="63" t="e">
        <f t="shared" si="17"/>
        <v>#REF!</v>
      </c>
      <c r="L104" s="48" t="s">
        <v>196</v>
      </c>
    </row>
    <row r="105" spans="1:12" x14ac:dyDescent="0.2">
      <c r="E105" s="98">
        <v>0</v>
      </c>
      <c r="F105" s="4" t="s">
        <v>115</v>
      </c>
      <c r="G105" s="61">
        <f t="shared" si="14"/>
        <v>0</v>
      </c>
      <c r="H105" s="62">
        <f t="shared" si="15"/>
        <v>0</v>
      </c>
      <c r="I105" s="61">
        <v>0</v>
      </c>
      <c r="J105" s="62">
        <f t="shared" si="16"/>
        <v>0</v>
      </c>
      <c r="K105" s="63" t="e">
        <f t="shared" si="17"/>
        <v>#DIV/0!</v>
      </c>
      <c r="L105" s="48" t="s">
        <v>196</v>
      </c>
    </row>
    <row r="106" spans="1:12" x14ac:dyDescent="0.2">
      <c r="E106" s="98">
        <v>0</v>
      </c>
      <c r="F106" s="4" t="s">
        <v>115</v>
      </c>
      <c r="G106" s="61">
        <f t="shared" si="14"/>
        <v>0</v>
      </c>
      <c r="H106" s="62">
        <f t="shared" si="15"/>
        <v>0</v>
      </c>
      <c r="I106" s="61">
        <v>0</v>
      </c>
      <c r="J106" s="62">
        <f t="shared" si="16"/>
        <v>0</v>
      </c>
      <c r="K106" s="63" t="e">
        <f t="shared" si="17"/>
        <v>#DIV/0!</v>
      </c>
      <c r="L106" s="48" t="s">
        <v>196</v>
      </c>
    </row>
    <row r="107" spans="1:12" x14ac:dyDescent="0.2">
      <c r="A107" s="3"/>
      <c r="B107" s="3"/>
      <c r="C107" s="3"/>
      <c r="D107" s="41"/>
      <c r="E107" s="98">
        <v>0</v>
      </c>
      <c r="F107" s="4" t="s">
        <v>115</v>
      </c>
      <c r="G107" s="61">
        <f t="shared" si="14"/>
        <v>0</v>
      </c>
      <c r="H107" s="62">
        <f t="shared" si="15"/>
        <v>0</v>
      </c>
      <c r="I107" s="61">
        <v>0</v>
      </c>
      <c r="J107" s="62">
        <f t="shared" si="16"/>
        <v>0</v>
      </c>
      <c r="K107" s="63" t="e">
        <f t="shared" si="17"/>
        <v>#DIV/0!</v>
      </c>
      <c r="L107" s="48" t="s">
        <v>196</v>
      </c>
    </row>
    <row r="108" spans="1:12" ht="12.75" thickBot="1" x14ac:dyDescent="0.25">
      <c r="B108" s="64"/>
      <c r="E108" s="98"/>
      <c r="F108" s="4" t="s">
        <v>115</v>
      </c>
      <c r="G108" s="61">
        <f t="shared" ref="G108" si="18">I108/0.6</f>
        <v>0</v>
      </c>
      <c r="H108" s="66">
        <f t="shared" si="15"/>
        <v>0</v>
      </c>
      <c r="I108" s="72">
        <v>0</v>
      </c>
      <c r="J108" s="66">
        <f t="shared" si="16"/>
        <v>0</v>
      </c>
      <c r="K108" s="67" t="e">
        <f t="shared" si="17"/>
        <v>#DIV/0!</v>
      </c>
      <c r="L108" s="48" t="s">
        <v>196</v>
      </c>
    </row>
    <row r="109" spans="1:12" ht="12.75" thickTop="1" x14ac:dyDescent="0.2">
      <c r="G109" s="62"/>
      <c r="H109" s="62" t="e">
        <f>SUM(H98:H108)</f>
        <v>#REF!</v>
      </c>
      <c r="I109" s="62"/>
      <c r="J109" s="62" t="e">
        <f>SUM(J98:J108)</f>
        <v>#REF!</v>
      </c>
      <c r="K109" s="63" t="e">
        <f t="shared" si="17"/>
        <v>#REF!</v>
      </c>
    </row>
    <row r="110" spans="1:12" ht="12.75" thickBot="1" x14ac:dyDescent="0.25">
      <c r="D110" s="71" t="s">
        <v>120</v>
      </c>
      <c r="E110" s="76">
        <v>0</v>
      </c>
      <c r="G110" s="62"/>
      <c r="H110" s="66" t="e">
        <f>-H109*E110</f>
        <v>#REF!</v>
      </c>
      <c r="I110" s="62"/>
      <c r="J110" s="62"/>
      <c r="K110" s="63"/>
    </row>
    <row r="111" spans="1:12" ht="12.75" thickTop="1" x14ac:dyDescent="0.2">
      <c r="H111" s="68" t="e">
        <f>H109+H110</f>
        <v>#REF!</v>
      </c>
      <c r="I111" s="69"/>
      <c r="J111" s="68" t="e">
        <f>J109</f>
        <v>#REF!</v>
      </c>
      <c r="K111" s="70" t="e">
        <f>1-(J111/H111)</f>
        <v>#REF!</v>
      </c>
    </row>
    <row r="113" spans="1:13" x14ac:dyDescent="0.2">
      <c r="A113" s="464" t="s">
        <v>136</v>
      </c>
      <c r="B113" s="464"/>
      <c r="C113" s="464"/>
      <c r="D113" s="464"/>
      <c r="E113" s="464"/>
      <c r="F113" s="464"/>
      <c r="G113" s="464"/>
      <c r="H113" s="464"/>
      <c r="I113" s="464"/>
      <c r="J113" s="464"/>
      <c r="K113" s="464"/>
      <c r="L113" s="464"/>
    </row>
    <row r="114" spans="1:13" x14ac:dyDescent="0.2">
      <c r="A114" s="58"/>
      <c r="B114" s="58" t="s">
        <v>136</v>
      </c>
      <c r="C114" s="59"/>
      <c r="D114" s="75"/>
      <c r="E114" s="96"/>
      <c r="F114" s="59"/>
      <c r="G114" s="59"/>
      <c r="H114" s="59"/>
      <c r="I114" s="59"/>
      <c r="J114" s="59"/>
      <c r="K114" s="59"/>
      <c r="L114" s="96"/>
    </row>
    <row r="115" spans="1:13" x14ac:dyDescent="0.2">
      <c r="B115" s="60" t="s">
        <v>128</v>
      </c>
      <c r="C115" s="60" t="s">
        <v>106</v>
      </c>
      <c r="D115" s="73" t="s">
        <v>68</v>
      </c>
      <c r="E115" s="2" t="s">
        <v>69</v>
      </c>
      <c r="F115" s="60" t="s">
        <v>107</v>
      </c>
      <c r="G115" s="60" t="s">
        <v>108</v>
      </c>
      <c r="H115" s="60" t="s">
        <v>109</v>
      </c>
      <c r="I115" s="60" t="s">
        <v>110</v>
      </c>
      <c r="J115" s="60" t="s">
        <v>111</v>
      </c>
      <c r="K115" s="60" t="s">
        <v>13</v>
      </c>
      <c r="L115" s="117" t="s">
        <v>194</v>
      </c>
    </row>
    <row r="116" spans="1:13" x14ac:dyDescent="0.2">
      <c r="A116" s="4" t="s">
        <v>0</v>
      </c>
      <c r="D116" s="71" t="s">
        <v>9</v>
      </c>
      <c r="E116" s="98">
        <f>ROUNDUP(10%*$C$7,0)</f>
        <v>39</v>
      </c>
      <c r="F116" s="4" t="s">
        <v>115</v>
      </c>
      <c r="G116" s="61" t="e">
        <f t="shared" ref="G116:G121" si="19">I116/0.75</f>
        <v>#REF!</v>
      </c>
      <c r="H116" s="62" t="e">
        <f>E116*G116</f>
        <v>#REF!</v>
      </c>
      <c r="I116" s="61" t="e">
        <f>#REF!+#REF!</f>
        <v>#REF!</v>
      </c>
      <c r="J116" s="62" t="e">
        <f>E116*I116</f>
        <v>#REF!</v>
      </c>
      <c r="K116" s="63" t="e">
        <f t="shared" ref="K116:K122" si="20">1-(J116/H116)</f>
        <v>#REF!</v>
      </c>
      <c r="L116" s="48" t="s">
        <v>196</v>
      </c>
    </row>
    <row r="117" spans="1:13" x14ac:dyDescent="0.2">
      <c r="A117" s="4" t="s">
        <v>0</v>
      </c>
      <c r="D117" s="71" t="s">
        <v>6</v>
      </c>
      <c r="E117" s="98">
        <f>ROUNDUP(110%*$C$7,0)</f>
        <v>427</v>
      </c>
      <c r="F117" s="4" t="s">
        <v>115</v>
      </c>
      <c r="G117" s="61">
        <f t="shared" si="19"/>
        <v>6.666666666666667</v>
      </c>
      <c r="H117" s="62">
        <f>E117*G117*6</f>
        <v>17080</v>
      </c>
      <c r="I117" s="4">
        <v>5</v>
      </c>
      <c r="J117" s="62">
        <f>E117*I117*6</f>
        <v>12810</v>
      </c>
      <c r="K117" s="63">
        <f t="shared" si="20"/>
        <v>0.25</v>
      </c>
      <c r="L117" s="48" t="s">
        <v>196</v>
      </c>
    </row>
    <row r="118" spans="1:13" ht="24" x14ac:dyDescent="0.2">
      <c r="A118" s="4" t="s">
        <v>0</v>
      </c>
      <c r="D118" s="71" t="s">
        <v>160</v>
      </c>
      <c r="E118" s="98">
        <v>2</v>
      </c>
      <c r="F118" s="4" t="s">
        <v>115</v>
      </c>
      <c r="G118" s="61">
        <f t="shared" si="19"/>
        <v>2133.3333333333335</v>
      </c>
      <c r="H118" s="62">
        <f>E118*G118</f>
        <v>4266.666666666667</v>
      </c>
      <c r="I118" s="4">
        <v>1600</v>
      </c>
      <c r="J118" s="62">
        <f>E118*I118</f>
        <v>3200</v>
      </c>
      <c r="K118" s="63">
        <f t="shared" si="20"/>
        <v>0.25</v>
      </c>
      <c r="L118" s="48" t="s">
        <v>196</v>
      </c>
    </row>
    <row r="119" spans="1:13" x14ac:dyDescent="0.2">
      <c r="A119" s="4" t="s">
        <v>0</v>
      </c>
      <c r="D119" s="71" t="s">
        <v>12</v>
      </c>
      <c r="E119" s="98">
        <v>1</v>
      </c>
      <c r="F119" s="4" t="s">
        <v>115</v>
      </c>
      <c r="G119" s="61">
        <f t="shared" si="19"/>
        <v>4666.666666666667</v>
      </c>
      <c r="H119" s="62">
        <f>E119*G119</f>
        <v>4666.666666666667</v>
      </c>
      <c r="I119" s="4">
        <v>3500</v>
      </c>
      <c r="J119" s="62">
        <f>E119*I119</f>
        <v>3500</v>
      </c>
      <c r="K119" s="63">
        <f t="shared" si="20"/>
        <v>0.25</v>
      </c>
      <c r="L119" s="48" t="s">
        <v>196</v>
      </c>
    </row>
    <row r="120" spans="1:13" x14ac:dyDescent="0.2">
      <c r="A120" s="4" t="s">
        <v>0</v>
      </c>
      <c r="D120" s="71" t="s">
        <v>137</v>
      </c>
      <c r="E120" s="98">
        <f>ROUNDUP(10%*$C$7,0)</f>
        <v>39</v>
      </c>
      <c r="F120" s="4" t="s">
        <v>115</v>
      </c>
      <c r="G120" s="61">
        <f t="shared" si="19"/>
        <v>2000</v>
      </c>
      <c r="H120" s="62">
        <f>E120*G120</f>
        <v>78000</v>
      </c>
      <c r="I120" s="61">
        <v>1500</v>
      </c>
      <c r="J120" s="62">
        <f>E120*I120</f>
        <v>58500</v>
      </c>
      <c r="K120" s="63">
        <f t="shared" si="20"/>
        <v>0.25</v>
      </c>
      <c r="L120" s="48" t="s">
        <v>196</v>
      </c>
    </row>
    <row r="121" spans="1:13" ht="12.75" thickBot="1" x14ac:dyDescent="0.25">
      <c r="A121" s="4" t="s">
        <v>0</v>
      </c>
      <c r="B121" s="64"/>
      <c r="D121" s="71" t="s">
        <v>11</v>
      </c>
      <c r="E121" s="98">
        <f t="shared" ref="E121" si="21">$C$7</f>
        <v>388</v>
      </c>
      <c r="F121" s="4" t="s">
        <v>115</v>
      </c>
      <c r="G121" s="65" t="e">
        <f t="shared" si="19"/>
        <v>#REF!</v>
      </c>
      <c r="H121" s="66" t="e">
        <f>E121*G121</f>
        <v>#REF!</v>
      </c>
      <c r="I121" s="66" t="e">
        <f>#REF!+#REF!+#REF!+#REF!</f>
        <v>#REF!</v>
      </c>
      <c r="J121" s="66" t="e">
        <f>E121*I121</f>
        <v>#REF!</v>
      </c>
      <c r="K121" s="67" t="e">
        <f t="shared" si="20"/>
        <v>#REF!</v>
      </c>
      <c r="L121" s="48" t="s">
        <v>196</v>
      </c>
    </row>
    <row r="122" spans="1:13" ht="12.75" thickTop="1" x14ac:dyDescent="0.2">
      <c r="G122" s="62"/>
      <c r="H122" s="62" t="e">
        <f>SUM(H116:H121)</f>
        <v>#REF!</v>
      </c>
      <c r="I122" s="62"/>
      <c r="J122" s="62" t="e">
        <f>SUM(J116:J121)</f>
        <v>#REF!</v>
      </c>
      <c r="K122" s="63" t="e">
        <f t="shared" si="20"/>
        <v>#REF!</v>
      </c>
    </row>
    <row r="123" spans="1:13" ht="12.75" thickBot="1" x14ac:dyDescent="0.25">
      <c r="D123" s="71" t="s">
        <v>120</v>
      </c>
      <c r="E123" s="76">
        <v>0</v>
      </c>
      <c r="G123" s="62"/>
      <c r="H123" s="66" t="e">
        <f>-H122*E123</f>
        <v>#REF!</v>
      </c>
      <c r="I123" s="62"/>
      <c r="J123" s="62"/>
      <c r="K123" s="63"/>
    </row>
    <row r="124" spans="1:13" ht="12.75" thickTop="1" x14ac:dyDescent="0.2">
      <c r="H124" s="68" t="e">
        <f>H122+H123</f>
        <v>#REF!</v>
      </c>
      <c r="I124" s="69"/>
      <c r="J124" s="68" t="e">
        <f>J122</f>
        <v>#REF!</v>
      </c>
      <c r="K124" s="70" t="e">
        <f>1-(J124/H124)</f>
        <v>#REF!</v>
      </c>
    </row>
    <row r="125" spans="1:13" x14ac:dyDescent="0.2">
      <c r="H125" s="68"/>
      <c r="I125" s="69"/>
      <c r="J125" s="68"/>
      <c r="K125" s="70"/>
    </row>
    <row r="126" spans="1:13" x14ac:dyDescent="0.2">
      <c r="A126" s="58"/>
      <c r="B126" s="58" t="s">
        <v>17</v>
      </c>
      <c r="C126" s="59"/>
      <c r="D126" s="75"/>
      <c r="E126" s="96"/>
      <c r="F126" s="59"/>
      <c r="G126" s="59"/>
      <c r="H126" s="59"/>
      <c r="I126" s="59"/>
      <c r="J126" s="59"/>
      <c r="K126" s="59"/>
      <c r="L126" s="96"/>
    </row>
    <row r="127" spans="1:13" x14ac:dyDescent="0.2">
      <c r="B127" s="60" t="s">
        <v>128</v>
      </c>
      <c r="C127" s="60" t="s">
        <v>106</v>
      </c>
      <c r="D127" s="73" t="s">
        <v>68</v>
      </c>
      <c r="E127" s="2" t="s">
        <v>69</v>
      </c>
      <c r="F127" s="60" t="s">
        <v>107</v>
      </c>
      <c r="G127" s="60" t="s">
        <v>108</v>
      </c>
      <c r="H127" s="60" t="s">
        <v>109</v>
      </c>
      <c r="I127" s="60" t="s">
        <v>110</v>
      </c>
      <c r="J127" s="60" t="s">
        <v>111</v>
      </c>
      <c r="K127" s="60" t="s">
        <v>13</v>
      </c>
      <c r="L127" s="117" t="s">
        <v>194</v>
      </c>
    </row>
    <row r="128" spans="1:13" x14ac:dyDescent="0.2">
      <c r="A128" s="4" t="s">
        <v>0</v>
      </c>
      <c r="D128" s="71" t="s">
        <v>89</v>
      </c>
      <c r="E128" s="98">
        <v>1</v>
      </c>
      <c r="F128" s="4" t="s">
        <v>115</v>
      </c>
      <c r="G128" s="62" t="e">
        <f>I128/0.75</f>
        <v>#REF!</v>
      </c>
      <c r="H128" s="62" t="e">
        <f>E128*G128</f>
        <v>#REF!</v>
      </c>
      <c r="I128" s="62" t="e">
        <f>#REF!*$C$7/1376</f>
        <v>#REF!</v>
      </c>
      <c r="J128" s="62" t="e">
        <f>E128*I128</f>
        <v>#REF!</v>
      </c>
      <c r="K128" s="63" t="e">
        <f t="shared" ref="K128:K133" si="22">1-(J128/H128)</f>
        <v>#REF!</v>
      </c>
      <c r="L128" s="48" t="s">
        <v>195</v>
      </c>
      <c r="M128" s="4" t="s">
        <v>203</v>
      </c>
    </row>
    <row r="129" spans="1:13" x14ac:dyDescent="0.2">
      <c r="A129" s="4" t="s">
        <v>0</v>
      </c>
      <c r="D129" s="71" t="s">
        <v>70</v>
      </c>
      <c r="E129" s="98">
        <v>1</v>
      </c>
      <c r="F129" s="4" t="s">
        <v>115</v>
      </c>
      <c r="G129" s="62">
        <f>I129/0.7</f>
        <v>214285.71428571429</v>
      </c>
      <c r="H129" s="62">
        <f>E129*G129</f>
        <v>214285.71428571429</v>
      </c>
      <c r="I129" s="62">
        <v>150000</v>
      </c>
      <c r="J129" s="62">
        <f>E129*I129</f>
        <v>150000</v>
      </c>
      <c r="K129" s="63">
        <f t="shared" si="22"/>
        <v>0.30000000000000004</v>
      </c>
      <c r="L129" s="48" t="s">
        <v>195</v>
      </c>
      <c r="M129" s="4" t="s">
        <v>204</v>
      </c>
    </row>
    <row r="130" spans="1:13" x14ac:dyDescent="0.2">
      <c r="A130" s="4" t="s">
        <v>0</v>
      </c>
      <c r="D130" s="71" t="s">
        <v>87</v>
      </c>
      <c r="E130" s="98">
        <f>C7</f>
        <v>388</v>
      </c>
      <c r="F130" s="4" t="s">
        <v>115</v>
      </c>
      <c r="G130" s="62" t="e">
        <f>I130/0.75</f>
        <v>#REF!</v>
      </c>
      <c r="H130" s="62" t="e">
        <f t="shared" ref="H130:H132" si="23">E130*G130</f>
        <v>#REF!</v>
      </c>
      <c r="I130" s="62" t="e">
        <f>#REF!</f>
        <v>#REF!</v>
      </c>
      <c r="J130" s="62" t="e">
        <f t="shared" ref="J130:J132" si="24">E130*I130</f>
        <v>#REF!</v>
      </c>
      <c r="K130" s="63" t="e">
        <f t="shared" si="22"/>
        <v>#REF!</v>
      </c>
      <c r="L130" s="48" t="s">
        <v>195</v>
      </c>
      <c r="M130" s="4" t="s">
        <v>204</v>
      </c>
    </row>
    <row r="131" spans="1:13" x14ac:dyDescent="0.2">
      <c r="A131" s="4" t="s">
        <v>0</v>
      </c>
      <c r="D131" s="71" t="s">
        <v>168</v>
      </c>
      <c r="E131" s="98">
        <v>6</v>
      </c>
      <c r="F131" s="4" t="s">
        <v>115</v>
      </c>
      <c r="G131" s="62">
        <f>I131/0.7</f>
        <v>28571.428571428572</v>
      </c>
      <c r="H131" s="62">
        <f t="shared" si="23"/>
        <v>171428.57142857142</v>
      </c>
      <c r="I131" s="62">
        <v>20000</v>
      </c>
      <c r="J131" s="62">
        <f t="shared" si="24"/>
        <v>120000</v>
      </c>
      <c r="K131" s="63">
        <f t="shared" si="22"/>
        <v>0.29999999999999993</v>
      </c>
      <c r="L131" s="48" t="s">
        <v>195</v>
      </c>
      <c r="M131" s="4" t="s">
        <v>204</v>
      </c>
    </row>
    <row r="132" spans="1:13" x14ac:dyDescent="0.2">
      <c r="A132" s="4" t="s">
        <v>0</v>
      </c>
      <c r="D132" s="71" t="s">
        <v>169</v>
      </c>
      <c r="E132" s="98">
        <v>1</v>
      </c>
      <c r="F132" s="4" t="s">
        <v>115</v>
      </c>
      <c r="G132" s="62">
        <f>I132/0.75</f>
        <v>266666.66666666669</v>
      </c>
      <c r="H132" s="62">
        <f t="shared" si="23"/>
        <v>266666.66666666669</v>
      </c>
      <c r="I132" s="62">
        <v>200000</v>
      </c>
      <c r="J132" s="62">
        <f t="shared" si="24"/>
        <v>200000</v>
      </c>
      <c r="K132" s="63">
        <f t="shared" si="22"/>
        <v>0.25</v>
      </c>
      <c r="L132" s="48" t="s">
        <v>195</v>
      </c>
      <c r="M132" s="4" t="s">
        <v>204</v>
      </c>
    </row>
    <row r="133" spans="1:13" x14ac:dyDescent="0.2">
      <c r="A133" s="4" t="s">
        <v>0</v>
      </c>
      <c r="E133" s="98">
        <v>0</v>
      </c>
      <c r="F133" s="4" t="s">
        <v>115</v>
      </c>
      <c r="G133" s="62">
        <f t="shared" ref="G133" si="25">I133/0.6</f>
        <v>0</v>
      </c>
      <c r="H133" s="62">
        <f>E133*G133</f>
        <v>0</v>
      </c>
      <c r="I133" s="62">
        <v>0</v>
      </c>
      <c r="J133" s="62">
        <f>E133*I133</f>
        <v>0</v>
      </c>
      <c r="K133" s="63" t="e">
        <f t="shared" si="22"/>
        <v>#DIV/0!</v>
      </c>
    </row>
    <row r="134" spans="1:13" ht="12.75" thickBot="1" x14ac:dyDescent="0.25">
      <c r="B134" s="64"/>
      <c r="E134" s="98"/>
      <c r="G134" s="65"/>
      <c r="H134" s="66"/>
      <c r="I134" s="66"/>
      <c r="J134" s="66"/>
      <c r="K134" s="67"/>
    </row>
    <row r="135" spans="1:13" ht="12.75" thickTop="1" x14ac:dyDescent="0.2">
      <c r="G135" s="62"/>
      <c r="H135" s="62" t="e">
        <f>SUM(H128:H134)</f>
        <v>#REF!</v>
      </c>
      <c r="I135" s="62"/>
      <c r="J135" s="62" t="e">
        <f>SUM(J128:J134)</f>
        <v>#REF!</v>
      </c>
      <c r="K135" s="63" t="e">
        <f>1-(J135/H135)</f>
        <v>#REF!</v>
      </c>
    </row>
    <row r="136" spans="1:13" ht="12.75" thickBot="1" x14ac:dyDescent="0.25">
      <c r="D136" s="71" t="s">
        <v>120</v>
      </c>
      <c r="E136" s="76">
        <v>0</v>
      </c>
      <c r="G136" s="62"/>
      <c r="H136" s="66" t="e">
        <f>-H135*E136</f>
        <v>#REF!</v>
      </c>
      <c r="I136" s="62"/>
      <c r="J136" s="62"/>
      <c r="K136" s="63"/>
    </row>
    <row r="137" spans="1:13" ht="12.75" thickTop="1" x14ac:dyDescent="0.2">
      <c r="H137" s="68" t="e">
        <f>H135+H136</f>
        <v>#REF!</v>
      </c>
      <c r="I137" s="69"/>
      <c r="J137" s="68" t="e">
        <f>J135</f>
        <v>#REF!</v>
      </c>
      <c r="K137" s="70" t="e">
        <f>1-(J137/H137)</f>
        <v>#REF!</v>
      </c>
    </row>
    <row r="138" spans="1:13" x14ac:dyDescent="0.2">
      <c r="M138" s="48"/>
    </row>
    <row r="139" spans="1:13" x14ac:dyDescent="0.2">
      <c r="A139" s="58"/>
      <c r="B139" s="58" t="s">
        <v>146</v>
      </c>
      <c r="C139" s="59"/>
      <c r="D139" s="75"/>
      <c r="E139" s="96"/>
      <c r="F139" s="59"/>
      <c r="G139" s="59"/>
      <c r="H139" s="59"/>
      <c r="I139" s="59"/>
      <c r="J139" s="59"/>
      <c r="K139" s="59"/>
      <c r="L139" s="96"/>
    </row>
    <row r="140" spans="1:13" x14ac:dyDescent="0.2">
      <c r="B140" s="60" t="s">
        <v>128</v>
      </c>
      <c r="C140" s="60" t="s">
        <v>106</v>
      </c>
      <c r="D140" s="73" t="s">
        <v>68</v>
      </c>
      <c r="E140" s="2" t="s">
        <v>69</v>
      </c>
      <c r="F140" s="60" t="s">
        <v>107</v>
      </c>
      <c r="G140" s="60" t="s">
        <v>108</v>
      </c>
      <c r="H140" s="60" t="s">
        <v>109</v>
      </c>
      <c r="I140" s="60" t="s">
        <v>110</v>
      </c>
      <c r="J140" s="60" t="s">
        <v>111</v>
      </c>
      <c r="K140" s="60" t="s">
        <v>13</v>
      </c>
      <c r="L140" s="117" t="s">
        <v>194</v>
      </c>
    </row>
    <row r="141" spans="1:13" x14ac:dyDescent="0.2">
      <c r="A141" s="4" t="s">
        <v>0</v>
      </c>
      <c r="D141" s="71" t="s">
        <v>181</v>
      </c>
      <c r="E141" s="98">
        <f>$C$7</f>
        <v>388</v>
      </c>
      <c r="F141" s="4" t="s">
        <v>115</v>
      </c>
      <c r="G141" s="62">
        <f>I141/0.75</f>
        <v>333.33333333333331</v>
      </c>
      <c r="H141" s="62">
        <f>E141*G141</f>
        <v>129333.33333333333</v>
      </c>
      <c r="I141" s="62">
        <v>250</v>
      </c>
      <c r="J141" s="62">
        <f>E141*I141</f>
        <v>97000</v>
      </c>
      <c r="K141" s="63">
        <f t="shared" ref="K141:K146" si="26">1-(J141/H141)</f>
        <v>0.25</v>
      </c>
      <c r="L141" s="48" t="s">
        <v>196</v>
      </c>
    </row>
    <row r="142" spans="1:13" x14ac:dyDescent="0.2">
      <c r="A142" s="4" t="s">
        <v>0</v>
      </c>
      <c r="D142" s="71" t="s">
        <v>185</v>
      </c>
      <c r="E142" s="98">
        <f>ROUNDUP($C$8*$C$7,0)</f>
        <v>20</v>
      </c>
      <c r="F142" s="4" t="s">
        <v>115</v>
      </c>
      <c r="G142" s="62">
        <f>I142/0.75</f>
        <v>333.33333333333331</v>
      </c>
      <c r="H142" s="62">
        <f>E142*G142</f>
        <v>6666.6666666666661</v>
      </c>
      <c r="I142" s="62">
        <v>250</v>
      </c>
      <c r="J142" s="62">
        <f>E142*I142</f>
        <v>5000</v>
      </c>
      <c r="K142" s="63">
        <f t="shared" si="26"/>
        <v>0.24999999999999989</v>
      </c>
      <c r="L142" s="48" t="s">
        <v>196</v>
      </c>
    </row>
    <row r="143" spans="1:13" x14ac:dyDescent="0.2">
      <c r="A143" s="4" t="s">
        <v>0</v>
      </c>
      <c r="D143" s="71" t="s">
        <v>182</v>
      </c>
      <c r="E143" s="98">
        <v>1</v>
      </c>
      <c r="F143" s="4" t="s">
        <v>115</v>
      </c>
      <c r="G143" s="62" t="e">
        <f>I143/0.75</f>
        <v>#REF!</v>
      </c>
      <c r="H143" s="62" t="e">
        <f>E143*G143</f>
        <v>#REF!</v>
      </c>
      <c r="I143" s="62" t="e">
        <f>#REF!</f>
        <v>#REF!</v>
      </c>
      <c r="J143" s="62" t="e">
        <f>E143*I143</f>
        <v>#REF!</v>
      </c>
      <c r="K143" s="63" t="e">
        <f t="shared" si="26"/>
        <v>#REF!</v>
      </c>
      <c r="L143" s="48" t="s">
        <v>196</v>
      </c>
    </row>
    <row r="144" spans="1:13" x14ac:dyDescent="0.2">
      <c r="A144" s="4" t="s">
        <v>0</v>
      </c>
      <c r="D144" s="71" t="s">
        <v>183</v>
      </c>
      <c r="E144" s="98">
        <v>1</v>
      </c>
      <c r="F144" s="4" t="s">
        <v>115</v>
      </c>
      <c r="G144" s="62" t="e">
        <f>I144/0.75</f>
        <v>#REF!</v>
      </c>
      <c r="H144" s="62" t="e">
        <f>E144*G144</f>
        <v>#REF!</v>
      </c>
      <c r="I144" s="62" t="e">
        <f>#REF!</f>
        <v>#REF!</v>
      </c>
      <c r="J144" s="62" t="e">
        <f>E144*I144</f>
        <v>#REF!</v>
      </c>
      <c r="K144" s="63" t="e">
        <f t="shared" si="26"/>
        <v>#REF!</v>
      </c>
      <c r="L144" s="48" t="s">
        <v>196</v>
      </c>
    </row>
    <row r="145" spans="1:12" ht="12.75" thickBot="1" x14ac:dyDescent="0.25">
      <c r="A145" s="4" t="s">
        <v>0</v>
      </c>
      <c r="D145" s="71" t="s">
        <v>184</v>
      </c>
      <c r="E145" s="98">
        <v>1</v>
      </c>
      <c r="F145" s="4" t="s">
        <v>115</v>
      </c>
      <c r="G145" s="66" t="e">
        <f>I145/0.75</f>
        <v>#REF!</v>
      </c>
      <c r="H145" s="66" t="e">
        <f>E145*G145</f>
        <v>#REF!</v>
      </c>
      <c r="I145" s="66" t="e">
        <f>#REF!</f>
        <v>#REF!</v>
      </c>
      <c r="J145" s="66" t="e">
        <f>E145*I145</f>
        <v>#REF!</v>
      </c>
      <c r="K145" s="67" t="e">
        <f t="shared" si="26"/>
        <v>#REF!</v>
      </c>
      <c r="L145" s="48" t="s">
        <v>196</v>
      </c>
    </row>
    <row r="146" spans="1:12" ht="12.75" thickTop="1" x14ac:dyDescent="0.2">
      <c r="G146" s="62"/>
      <c r="H146" s="62" t="e">
        <f>SUM(H141:H145)</f>
        <v>#REF!</v>
      </c>
      <c r="I146" s="62"/>
      <c r="J146" s="62" t="e">
        <f>SUM(J141:J145)</f>
        <v>#REF!</v>
      </c>
      <c r="K146" s="63" t="e">
        <f t="shared" si="26"/>
        <v>#REF!</v>
      </c>
    </row>
    <row r="147" spans="1:12" ht="12.75" thickBot="1" x14ac:dyDescent="0.25">
      <c r="D147" s="71" t="s">
        <v>120</v>
      </c>
      <c r="E147" s="76">
        <v>0</v>
      </c>
      <c r="G147" s="62"/>
      <c r="H147" s="66" t="e">
        <f>-H146*E147</f>
        <v>#REF!</v>
      </c>
      <c r="I147" s="62"/>
      <c r="J147" s="62"/>
      <c r="K147" s="63"/>
    </row>
    <row r="148" spans="1:12" ht="12.75" thickTop="1" x14ac:dyDescent="0.2">
      <c r="H148" s="68" t="e">
        <f>H146+H147</f>
        <v>#REF!</v>
      </c>
      <c r="I148" s="69"/>
      <c r="J148" s="68" t="e">
        <f>J146</f>
        <v>#REF!</v>
      </c>
      <c r="K148" s="70" t="e">
        <f>1-(J148/H148)</f>
        <v>#REF!</v>
      </c>
    </row>
    <row r="149" spans="1:12" x14ac:dyDescent="0.2">
      <c r="A149" s="457" t="s">
        <v>139</v>
      </c>
      <c r="B149" s="457"/>
      <c r="C149" s="457"/>
      <c r="D149" s="457"/>
      <c r="E149" s="457"/>
      <c r="F149" s="457"/>
      <c r="G149" s="457"/>
      <c r="H149" s="457"/>
      <c r="I149" s="457"/>
      <c r="J149" s="457"/>
      <c r="K149" s="457"/>
      <c r="L149" s="457"/>
    </row>
    <row r="150" spans="1:12" x14ac:dyDescent="0.2">
      <c r="A150" s="78" t="s">
        <v>5</v>
      </c>
      <c r="B150" s="78" t="s">
        <v>140</v>
      </c>
      <c r="C150" s="79"/>
      <c r="D150" s="80"/>
      <c r="E150" s="97"/>
      <c r="F150" s="79"/>
      <c r="G150" s="79"/>
      <c r="H150" s="79"/>
      <c r="I150" s="79"/>
      <c r="J150" s="79"/>
      <c r="K150" s="79"/>
      <c r="L150" s="97"/>
    </row>
    <row r="151" spans="1:12" x14ac:dyDescent="0.2">
      <c r="B151" s="60" t="s">
        <v>128</v>
      </c>
      <c r="C151" s="60" t="s">
        <v>106</v>
      </c>
      <c r="D151" s="73" t="s">
        <v>68</v>
      </c>
      <c r="E151" s="2" t="s">
        <v>69</v>
      </c>
      <c r="F151" s="60" t="s">
        <v>107</v>
      </c>
      <c r="G151" s="60" t="s">
        <v>108</v>
      </c>
      <c r="H151" s="60" t="s">
        <v>109</v>
      </c>
      <c r="I151" s="60" t="s">
        <v>110</v>
      </c>
      <c r="J151" s="60" t="s">
        <v>111</v>
      </c>
      <c r="K151" s="60" t="s">
        <v>13</v>
      </c>
      <c r="L151" s="117" t="s">
        <v>194</v>
      </c>
    </row>
    <row r="152" spans="1:12" x14ac:dyDescent="0.2">
      <c r="A152" s="4" t="s">
        <v>1</v>
      </c>
      <c r="D152" s="71" t="s">
        <v>193</v>
      </c>
      <c r="E152" s="98">
        <v>30</v>
      </c>
      <c r="F152" s="4" t="s">
        <v>115</v>
      </c>
      <c r="G152" s="61">
        <f>I152/0.7</f>
        <v>10714.285714285716</v>
      </c>
      <c r="H152" s="62">
        <f>E152*G152</f>
        <v>321428.57142857148</v>
      </c>
      <c r="I152" s="61">
        <v>7500</v>
      </c>
      <c r="J152" s="62">
        <f>E152*I152</f>
        <v>225000</v>
      </c>
      <c r="K152" s="63">
        <f t="shared" ref="K152:K156" si="27">1-(J152/H152)</f>
        <v>0.30000000000000016</v>
      </c>
      <c r="L152" s="48" t="s">
        <v>195</v>
      </c>
    </row>
    <row r="153" spans="1:12" x14ac:dyDescent="0.2">
      <c r="A153" s="4" t="s">
        <v>1</v>
      </c>
      <c r="D153" s="71" t="s">
        <v>72</v>
      </c>
      <c r="E153" s="98">
        <v>30</v>
      </c>
      <c r="F153" s="4" t="s">
        <v>115</v>
      </c>
      <c r="G153" s="61" t="e">
        <f>I153/0.7</f>
        <v>#REF!</v>
      </c>
      <c r="H153" s="62" t="e">
        <f>E153*G153</f>
        <v>#REF!</v>
      </c>
      <c r="I153" s="61" t="e">
        <f>#REF!</f>
        <v>#REF!</v>
      </c>
      <c r="J153" s="62" t="e">
        <f>E153*I153</f>
        <v>#REF!</v>
      </c>
      <c r="K153" s="63" t="e">
        <f t="shared" si="27"/>
        <v>#REF!</v>
      </c>
      <c r="L153" s="48" t="s">
        <v>196</v>
      </c>
    </row>
    <row r="154" spans="1:12" ht="24" x14ac:dyDescent="0.2">
      <c r="A154" s="4" t="s">
        <v>1</v>
      </c>
      <c r="D154" s="71" t="s">
        <v>147</v>
      </c>
      <c r="E154" s="98">
        <f>C7</f>
        <v>388</v>
      </c>
      <c r="F154" s="4" t="s">
        <v>115</v>
      </c>
      <c r="G154" s="61">
        <f>I154/0.7</f>
        <v>4.2857142857142856</v>
      </c>
      <c r="H154" s="62">
        <f>E154*G154*24</f>
        <v>39908.571428571428</v>
      </c>
      <c r="I154" s="4">
        <v>3</v>
      </c>
      <c r="J154" s="62">
        <f>E154*I154*24</f>
        <v>27936</v>
      </c>
      <c r="K154" s="63">
        <f t="shared" si="27"/>
        <v>0.29999999999999993</v>
      </c>
      <c r="L154" s="48" t="s">
        <v>195</v>
      </c>
    </row>
    <row r="155" spans="1:12" x14ac:dyDescent="0.2">
      <c r="A155" s="4" t="s">
        <v>1</v>
      </c>
      <c r="D155" s="71" t="s">
        <v>152</v>
      </c>
      <c r="E155" s="98">
        <f>ROUNDUP(30%*$C$7,0)</f>
        <v>117</v>
      </c>
      <c r="F155" s="4" t="s">
        <v>115</v>
      </c>
      <c r="G155" s="61" t="e">
        <f>I155/0.75</f>
        <v>#REF!</v>
      </c>
      <c r="H155" s="62" t="e">
        <f>E155*G155</f>
        <v>#REF!</v>
      </c>
      <c r="I155" s="4" t="e">
        <f>#REF!*2</f>
        <v>#REF!</v>
      </c>
      <c r="J155" s="62" t="e">
        <f>E155*I155</f>
        <v>#REF!</v>
      </c>
      <c r="K155" s="63" t="e">
        <f t="shared" si="27"/>
        <v>#REF!</v>
      </c>
      <c r="L155" s="48" t="s">
        <v>196</v>
      </c>
    </row>
    <row r="156" spans="1:12" x14ac:dyDescent="0.2">
      <c r="A156" s="4" t="s">
        <v>1</v>
      </c>
      <c r="D156" s="71" t="s">
        <v>88</v>
      </c>
      <c r="E156" s="98">
        <f>C7</f>
        <v>388</v>
      </c>
      <c r="F156" s="4" t="s">
        <v>115</v>
      </c>
      <c r="G156" s="61" t="e">
        <f>I156/0.75</f>
        <v>#REF!</v>
      </c>
      <c r="H156" s="62" t="e">
        <f>E156*G156*36</f>
        <v>#REF!</v>
      </c>
      <c r="I156" s="77" t="e">
        <f>#REF!/951</f>
        <v>#REF!</v>
      </c>
      <c r="J156" s="62" t="e">
        <f>E156*I156*36</f>
        <v>#REF!</v>
      </c>
      <c r="K156" s="63" t="e">
        <f t="shared" si="27"/>
        <v>#REF!</v>
      </c>
      <c r="L156" s="48" t="s">
        <v>195</v>
      </c>
    </row>
    <row r="157" spans="1:12" ht="12.75" thickBot="1" x14ac:dyDescent="0.25">
      <c r="B157" s="64"/>
      <c r="E157" s="98"/>
      <c r="G157" s="65"/>
      <c r="H157" s="66"/>
      <c r="I157" s="66"/>
      <c r="J157" s="66"/>
      <c r="K157" s="67"/>
    </row>
    <row r="158" spans="1:12" ht="12.75" thickTop="1" x14ac:dyDescent="0.2">
      <c r="G158" s="62"/>
      <c r="H158" s="62" t="e">
        <f>SUM(H152:H157)</f>
        <v>#REF!</v>
      </c>
      <c r="I158" s="62"/>
      <c r="J158" s="62" t="e">
        <f>SUM(J152:J157)</f>
        <v>#REF!</v>
      </c>
      <c r="K158" s="63" t="e">
        <f>1-(J158/H158)</f>
        <v>#REF!</v>
      </c>
    </row>
    <row r="159" spans="1:12" ht="12.75" thickBot="1" x14ac:dyDescent="0.25">
      <c r="D159" s="71" t="s">
        <v>120</v>
      </c>
      <c r="E159" s="76">
        <v>0</v>
      </c>
      <c r="G159" s="62"/>
      <c r="H159" s="66" t="e">
        <f>-H158*E159</f>
        <v>#REF!</v>
      </c>
      <c r="I159" s="62"/>
      <c r="J159" s="62"/>
      <c r="K159" s="63"/>
    </row>
    <row r="160" spans="1:12" ht="12.75" thickTop="1" x14ac:dyDescent="0.2">
      <c r="H160" s="68" t="e">
        <f>H158+H159</f>
        <v>#REF!</v>
      </c>
      <c r="I160" s="69"/>
      <c r="J160" s="68" t="e">
        <f>J158</f>
        <v>#REF!</v>
      </c>
      <c r="K160" s="70" t="e">
        <f>1-(J160/H160)</f>
        <v>#REF!</v>
      </c>
    </row>
    <row r="162" spans="1:13" x14ac:dyDescent="0.2">
      <c r="A162" s="78"/>
      <c r="B162" s="78" t="s">
        <v>18</v>
      </c>
      <c r="C162" s="79"/>
      <c r="D162" s="80"/>
      <c r="E162" s="97"/>
      <c r="F162" s="79"/>
      <c r="G162" s="79"/>
      <c r="H162" s="79"/>
      <c r="I162" s="79"/>
      <c r="J162" s="79"/>
      <c r="K162" s="79"/>
      <c r="L162" s="97"/>
    </row>
    <row r="163" spans="1:13" x14ac:dyDescent="0.2">
      <c r="B163" s="60" t="s">
        <v>128</v>
      </c>
      <c r="C163" s="60" t="s">
        <v>106</v>
      </c>
      <c r="D163" s="73" t="s">
        <v>68</v>
      </c>
      <c r="E163" s="2" t="s">
        <v>69</v>
      </c>
      <c r="F163" s="60" t="s">
        <v>107</v>
      </c>
      <c r="G163" s="60" t="s">
        <v>108</v>
      </c>
      <c r="H163" s="60" t="s">
        <v>109</v>
      </c>
      <c r="I163" s="60" t="s">
        <v>110</v>
      </c>
      <c r="J163" s="60" t="s">
        <v>111</v>
      </c>
      <c r="K163" s="60" t="s">
        <v>13</v>
      </c>
      <c r="L163" s="117" t="s">
        <v>194</v>
      </c>
      <c r="M163" s="60"/>
    </row>
    <row r="164" spans="1:13" x14ac:dyDescent="0.2">
      <c r="A164" s="4" t="s">
        <v>1</v>
      </c>
      <c r="B164" s="4" t="s">
        <v>141</v>
      </c>
      <c r="D164" s="71" t="s">
        <v>220</v>
      </c>
      <c r="E164" s="98">
        <f>C11</f>
        <v>0</v>
      </c>
      <c r="F164" s="4" t="s">
        <v>115</v>
      </c>
      <c r="G164" s="61">
        <f>I164/0.75</f>
        <v>166.66666666666666</v>
      </c>
      <c r="H164" s="62">
        <f>E164*G164*24</f>
        <v>0</v>
      </c>
      <c r="I164" s="61">
        <v>125</v>
      </c>
      <c r="J164" s="62">
        <f>E164*I164*24</f>
        <v>0</v>
      </c>
      <c r="K164" s="63" t="e">
        <f>1-(J164/H164)</f>
        <v>#DIV/0!</v>
      </c>
      <c r="L164" s="48" t="s">
        <v>195</v>
      </c>
      <c r="M164" s="4" t="s">
        <v>144</v>
      </c>
    </row>
    <row r="165" spans="1:13" ht="24" x14ac:dyDescent="0.2">
      <c r="A165" s="4" t="s">
        <v>1</v>
      </c>
      <c r="B165" s="4" t="s">
        <v>138</v>
      </c>
      <c r="D165" s="71" t="s">
        <v>221</v>
      </c>
      <c r="E165" s="98">
        <f>C10</f>
        <v>970</v>
      </c>
      <c r="F165" s="4" t="s">
        <v>115</v>
      </c>
      <c r="G165" s="61">
        <v>81</v>
      </c>
      <c r="H165" s="62">
        <f>E165*G165*24</f>
        <v>1885680</v>
      </c>
      <c r="I165" s="61">
        <v>52</v>
      </c>
      <c r="J165" s="62">
        <f>E165*I165*24</f>
        <v>1210560</v>
      </c>
      <c r="K165" s="63">
        <f>1-(J165/H165)</f>
        <v>0.35802469135802473</v>
      </c>
      <c r="L165" s="48" t="s">
        <v>195</v>
      </c>
      <c r="M165" s="4" t="s">
        <v>144</v>
      </c>
    </row>
    <row r="166" spans="1:13" ht="12.75" thickBot="1" x14ac:dyDescent="0.25">
      <c r="A166" s="4" t="s">
        <v>1</v>
      </c>
      <c r="B166" s="4" t="s">
        <v>138</v>
      </c>
      <c r="D166" s="71" t="s">
        <v>161</v>
      </c>
      <c r="E166" s="98">
        <v>50</v>
      </c>
      <c r="F166" s="4" t="s">
        <v>115</v>
      </c>
      <c r="G166" s="61">
        <v>81</v>
      </c>
      <c r="H166" s="66">
        <f>E166*G166*7</f>
        <v>28350</v>
      </c>
      <c r="I166" s="65">
        <v>52</v>
      </c>
      <c r="J166" s="66">
        <f>E166*I166*7</f>
        <v>18200</v>
      </c>
      <c r="K166" s="67">
        <f>1-(J166/H166)</f>
        <v>0.35802469135802473</v>
      </c>
      <c r="L166" s="48" t="s">
        <v>195</v>
      </c>
      <c r="M166" s="4" t="s">
        <v>144</v>
      </c>
    </row>
    <row r="167" spans="1:13" ht="12.75" thickTop="1" x14ac:dyDescent="0.2">
      <c r="G167" s="62"/>
      <c r="H167" s="62">
        <f>SUM(H164:H166)</f>
        <v>1914030</v>
      </c>
      <c r="I167" s="62"/>
      <c r="J167" s="62">
        <f>SUM(J164:J166)</f>
        <v>1228760</v>
      </c>
      <c r="K167" s="63">
        <f>1-(J167/H167)</f>
        <v>0.35802469135802473</v>
      </c>
    </row>
    <row r="168" spans="1:13" ht="12.75" thickBot="1" x14ac:dyDescent="0.25">
      <c r="D168" s="71" t="s">
        <v>120</v>
      </c>
      <c r="E168" s="76">
        <v>0</v>
      </c>
      <c r="G168" s="62"/>
      <c r="H168" s="66">
        <f>-H167*E168</f>
        <v>0</v>
      </c>
      <c r="I168" s="62"/>
      <c r="J168" s="62"/>
      <c r="K168" s="63"/>
    </row>
    <row r="169" spans="1:13" ht="12.75" thickTop="1" x14ac:dyDescent="0.2">
      <c r="H169" s="68">
        <f>H167+H168</f>
        <v>1914030</v>
      </c>
      <c r="I169" s="69"/>
      <c r="J169" s="68">
        <f>J167</f>
        <v>1228760</v>
      </c>
      <c r="K169" s="70">
        <f>1-(J169/H169)</f>
        <v>0.35802469135802473</v>
      </c>
    </row>
    <row r="170" spans="1:13" x14ac:dyDescent="0.2">
      <c r="A170" s="78"/>
      <c r="B170" s="78" t="s">
        <v>8</v>
      </c>
      <c r="C170" s="79"/>
      <c r="D170" s="80"/>
      <c r="E170" s="97"/>
      <c r="F170" s="79"/>
      <c r="G170" s="79"/>
      <c r="H170" s="79"/>
      <c r="I170" s="79"/>
      <c r="J170" s="79"/>
      <c r="K170" s="79"/>
      <c r="L170" s="97"/>
    </row>
    <row r="171" spans="1:13" x14ac:dyDescent="0.2">
      <c r="B171" s="60" t="s">
        <v>128</v>
      </c>
      <c r="C171" s="60" t="s">
        <v>106</v>
      </c>
      <c r="D171" s="73" t="s">
        <v>68</v>
      </c>
      <c r="E171" s="2" t="s">
        <v>69</v>
      </c>
      <c r="F171" s="60" t="s">
        <v>107</v>
      </c>
      <c r="G171" s="60" t="s">
        <v>108</v>
      </c>
      <c r="H171" s="60" t="s">
        <v>109</v>
      </c>
      <c r="I171" s="60" t="s">
        <v>110</v>
      </c>
      <c r="J171" s="60" t="s">
        <v>111</v>
      </c>
      <c r="K171" s="60" t="s">
        <v>13</v>
      </c>
    </row>
    <row r="172" spans="1:13" x14ac:dyDescent="0.2">
      <c r="A172" s="4" t="s">
        <v>1</v>
      </c>
      <c r="D172" s="71" t="s">
        <v>15</v>
      </c>
      <c r="E172" s="98">
        <f>ROUNDUP(C19*$C$7,0)</f>
        <v>4</v>
      </c>
      <c r="F172" s="4" t="s">
        <v>115</v>
      </c>
      <c r="G172" s="62">
        <f>I172/0.75</f>
        <v>173.68421052631581</v>
      </c>
      <c r="H172" s="62">
        <v>0</v>
      </c>
      <c r="I172" s="62">
        <f>10%*C20</f>
        <v>130.26315789473685</v>
      </c>
      <c r="J172" s="62">
        <f>E172*I172*24</f>
        <v>12505.263157894737</v>
      </c>
      <c r="K172" s="63" t="e">
        <f>1-(J172/H172)</f>
        <v>#DIV/0!</v>
      </c>
      <c r="L172" s="48" t="s">
        <v>196</v>
      </c>
    </row>
    <row r="173" spans="1:13" ht="12.75" thickBot="1" x14ac:dyDescent="0.25">
      <c r="B173" s="64"/>
      <c r="D173" s="136" t="s">
        <v>225</v>
      </c>
      <c r="E173" s="98">
        <v>1</v>
      </c>
      <c r="G173" s="65">
        <v>0</v>
      </c>
      <c r="H173" s="66">
        <v>0</v>
      </c>
      <c r="I173" s="66">
        <v>100000</v>
      </c>
      <c r="J173" s="66">
        <v>100000</v>
      </c>
      <c r="K173" s="67" t="e">
        <f>1-(J173/H173)</f>
        <v>#DIV/0!</v>
      </c>
    </row>
    <row r="174" spans="1:13" ht="12.75" thickTop="1" x14ac:dyDescent="0.2">
      <c r="G174" s="62"/>
      <c r="H174" s="62">
        <f>SUM(H172:H173)</f>
        <v>0</v>
      </c>
      <c r="I174" s="62"/>
      <c r="J174" s="62">
        <f>SUM(J172:J173)</f>
        <v>112505.26315789473</v>
      </c>
      <c r="K174" s="63" t="e">
        <f>1-(J174/H174)</f>
        <v>#DIV/0!</v>
      </c>
    </row>
    <row r="175" spans="1:13" ht="12.75" thickBot="1" x14ac:dyDescent="0.25">
      <c r="D175" s="71" t="s">
        <v>120</v>
      </c>
      <c r="E175" s="76">
        <v>0</v>
      </c>
      <c r="G175" s="62"/>
      <c r="H175" s="66">
        <f>-H174*E175</f>
        <v>0</v>
      </c>
      <c r="I175" s="62"/>
      <c r="J175" s="62"/>
      <c r="K175" s="63"/>
    </row>
    <row r="176" spans="1:13" ht="12.75" thickTop="1" x14ac:dyDescent="0.2">
      <c r="H176" s="68">
        <f>H174+H175</f>
        <v>0</v>
      </c>
      <c r="I176" s="69"/>
      <c r="J176" s="68">
        <f>J174</f>
        <v>112505.26315789473</v>
      </c>
      <c r="K176" s="70" t="e">
        <f>1-(J176/H176)</f>
        <v>#DIV/0!</v>
      </c>
    </row>
    <row r="178" spans="4:17" ht="15.75" thickBot="1" x14ac:dyDescent="0.3">
      <c r="H178" s="1" t="s">
        <v>4</v>
      </c>
      <c r="J178" s="106" t="s">
        <v>19</v>
      </c>
      <c r="K178" s="108" t="s">
        <v>13</v>
      </c>
    </row>
    <row r="179" spans="4:17" ht="15.75" thickBot="1" x14ac:dyDescent="0.3">
      <c r="D179" s="81" t="s">
        <v>142</v>
      </c>
      <c r="E179" s="99"/>
      <c r="F179" s="82"/>
      <c r="G179" s="82"/>
      <c r="H179" s="105" t="e">
        <f>H36+H49+H56+H64+H72+H79+H95+H124+H137+H148+H160+H169+H176+H111</f>
        <v>#REF!</v>
      </c>
      <c r="I179" s="82"/>
      <c r="J179" s="105" t="e">
        <f>J36+J49+J56+J64+J72+J79+J95+J124+J137+J148+J160+J169+J176+J111</f>
        <v>#REF!</v>
      </c>
      <c r="K179" s="107" t="e">
        <f>1-(J179/H179)</f>
        <v>#REF!</v>
      </c>
    </row>
    <row r="180" spans="4:17" ht="15.75" thickBot="1" x14ac:dyDescent="0.3">
      <c r="D180" s="49"/>
      <c r="E180" s="104"/>
      <c r="F180" s="49"/>
      <c r="G180" s="49"/>
      <c r="H180" s="83"/>
      <c r="I180" s="49"/>
      <c r="J180" s="85"/>
      <c r="K180" s="86"/>
    </row>
    <row r="181" spans="4:17" ht="15.75" thickBot="1" x14ac:dyDescent="0.3">
      <c r="D181" s="81" t="s">
        <v>143</v>
      </c>
      <c r="E181" s="100">
        <v>0</v>
      </c>
      <c r="F181" s="82"/>
      <c r="G181" s="82"/>
      <c r="H181" s="87" t="e">
        <f>-E181*H179</f>
        <v>#REF!</v>
      </c>
      <c r="I181" s="82"/>
      <c r="J181" s="83">
        <v>0</v>
      </c>
      <c r="K181" s="84"/>
    </row>
    <row r="182" spans="4:17" ht="15.75" thickBot="1" x14ac:dyDescent="0.3">
      <c r="D182"/>
      <c r="E182" s="101"/>
      <c r="F182"/>
      <c r="G182"/>
      <c r="H182"/>
      <c r="I182"/>
      <c r="J182"/>
      <c r="K182"/>
    </row>
    <row r="183" spans="4:17" ht="15.75" thickBot="1" x14ac:dyDescent="0.3">
      <c r="D183" s="88" t="s">
        <v>153</v>
      </c>
      <c r="E183" s="102"/>
      <c r="F183" s="89"/>
      <c r="G183" s="89"/>
      <c r="H183" s="90" t="e">
        <f>H179+H181</f>
        <v>#REF!</v>
      </c>
      <c r="I183" s="89"/>
      <c r="J183" s="90" t="e">
        <f>J179+J180</f>
        <v>#REF!</v>
      </c>
      <c r="K183" s="91" t="e">
        <f>1-(J183/H183)</f>
        <v>#REF!</v>
      </c>
    </row>
    <row r="184" spans="4:17" ht="15.75" thickBot="1" x14ac:dyDescent="0.3">
      <c r="D184"/>
      <c r="E184" s="101"/>
      <c r="F184"/>
      <c r="G184"/>
      <c r="H184"/>
      <c r="I184"/>
      <c r="J184"/>
      <c r="K184"/>
    </row>
    <row r="185" spans="4:17" ht="15.75" thickBot="1" x14ac:dyDescent="0.3">
      <c r="D185" s="92" t="s">
        <v>170</v>
      </c>
      <c r="E185" s="103"/>
      <c r="F185" s="93"/>
      <c r="G185" s="93"/>
      <c r="H185" s="94" t="e">
        <f>H183/C7/C18</f>
        <v>#REF!</v>
      </c>
      <c r="I185" s="93"/>
      <c r="J185" s="94" t="e">
        <f>J183/C7/C18</f>
        <v>#REF!</v>
      </c>
      <c r="K185" s="95" t="e">
        <f>1-(J185/H185)</f>
        <v>#REF!</v>
      </c>
      <c r="N185" s="118" t="s">
        <v>19</v>
      </c>
      <c r="O185" s="118" t="s">
        <v>4</v>
      </c>
      <c r="P185" s="118" t="s">
        <v>197</v>
      </c>
      <c r="Q185" s="118" t="s">
        <v>4</v>
      </c>
    </row>
    <row r="186" spans="4:17" ht="15" customHeight="1" thickBot="1" x14ac:dyDescent="0.3">
      <c r="D186"/>
      <c r="E186" s="101"/>
      <c r="F186"/>
      <c r="G186"/>
      <c r="H186"/>
      <c r="I186"/>
      <c r="J186"/>
      <c r="K186"/>
      <c r="M186" s="119" t="s">
        <v>195</v>
      </c>
      <c r="N186" s="120" t="e">
        <f>N187+N189+N190+N188</f>
        <v>#REF!</v>
      </c>
      <c r="O186" s="120" t="e">
        <f>O187+O189+O190+O188</f>
        <v>#REF!</v>
      </c>
      <c r="P186" s="121" t="e">
        <f>1-(N186/O186)</f>
        <v>#REF!</v>
      </c>
      <c r="Q186" s="458" t="e">
        <f>O186/O195</f>
        <v>#REF!</v>
      </c>
    </row>
    <row r="187" spans="4:17" ht="12.75" thickTop="1" x14ac:dyDescent="0.2">
      <c r="M187" s="122" t="s">
        <v>198</v>
      </c>
      <c r="N187" s="123" t="e">
        <f>SUMIFS(J26:J176,A26:A176,"CAPEX",L26:L176,"HNS",M26:M176,"VSAT")</f>
        <v>#REF!</v>
      </c>
      <c r="O187" s="123" t="e">
        <f>SUMIFS(H26:H176,A26:A176,"CAPEX",L26:L176,"HNS",M26:M176,"VSAT")-(SUMIFS(H26:H176,A26:A176,"CAPEX",L26:L176,"HNS",M26:M176,"VSAT"))*E181</f>
        <v>#REF!</v>
      </c>
      <c r="P187" s="124" t="e">
        <f>1-(N187/O187)</f>
        <v>#REF!</v>
      </c>
      <c r="Q187" s="458"/>
    </row>
    <row r="188" spans="4:17" x14ac:dyDescent="0.2">
      <c r="M188" s="122" t="s">
        <v>199</v>
      </c>
      <c r="N188" s="123" t="e">
        <f>SUMIFS(J26:J176,A26:A176,"CAPEX",L26:L176,"HNS",M26:M176,"GW-INFRA")</f>
        <v>#REF!</v>
      </c>
      <c r="O188" s="123" t="e">
        <f>SUMIFS(H26:H176,A26:A176,"CAPEX",L26:L176,"HNS",M26:M176,"GW-INFRA")-(SUMIFS(H26:H176,A26:A176,"CAPEX",L26:L176,"HNS",M26:M176,"GW-INFRA"))*E181</f>
        <v>#REF!</v>
      </c>
      <c r="P188" s="124" t="e">
        <f>1-(N188/O188)</f>
        <v>#REF!</v>
      </c>
      <c r="Q188" s="458"/>
    </row>
    <row r="189" spans="4:17" x14ac:dyDescent="0.2">
      <c r="M189" s="122" t="s">
        <v>200</v>
      </c>
      <c r="N189" s="123" t="e">
        <f>SUMIFS(J26:J176,A26:A176,"OPEX",L26:L176,"HNS",M26:M176,"")</f>
        <v>#REF!</v>
      </c>
      <c r="O189" s="123" t="e">
        <f>SUMIFS(H26:H176,A26:A176,"OPEX",L26:L176,"HNS",M26:M176,"")-(SUMIFS(H26:H176,A26:A176,"OPEX",L26:L176,"HNS",M26:M176,""))*E181</f>
        <v>#REF!</v>
      </c>
      <c r="P189" s="124" t="e">
        <f t="shared" ref="P189:P193" si="28">1-(N189/O189)</f>
        <v>#REF!</v>
      </c>
      <c r="Q189" s="458"/>
    </row>
    <row r="190" spans="4:17" x14ac:dyDescent="0.2">
      <c r="M190" s="122" t="s">
        <v>205</v>
      </c>
      <c r="N190" s="123">
        <f>SUMIFS(J26:J176,A26:A176,"OPEX",L26:L176,"HNS",M26:M176,"T19V")</f>
        <v>1228760</v>
      </c>
      <c r="O190" s="123">
        <f>SUMIFS(H26:H176,A26:A176,"OPEX",L26:L176,"HNS",M26:M176,"T19V")-(SUMIFS(H26:H176,A26:A176,"OPEX",L26:L176,"HNS",M26:M176,"T19V"))*E181</f>
        <v>1914030</v>
      </c>
      <c r="P190" s="124">
        <f t="shared" si="28"/>
        <v>0.35802469135802473</v>
      </c>
      <c r="Q190" s="458"/>
    </row>
    <row r="191" spans="4:17" ht="12.75" thickBot="1" x14ac:dyDescent="0.25">
      <c r="M191" s="125" t="s">
        <v>196</v>
      </c>
      <c r="N191" s="126" t="e">
        <f>N192+N193+N194</f>
        <v>#REF!</v>
      </c>
      <c r="O191" s="126" t="e">
        <f>O192+O193+O194</f>
        <v>#REF!</v>
      </c>
      <c r="P191" s="127" t="e">
        <f t="shared" si="28"/>
        <v>#REF!</v>
      </c>
      <c r="Q191" s="459" t="e">
        <f>O191/O195</f>
        <v>#REF!</v>
      </c>
    </row>
    <row r="192" spans="4:17" ht="12.75" thickTop="1" x14ac:dyDescent="0.2">
      <c r="M192" s="128" t="s">
        <v>201</v>
      </c>
      <c r="N192" s="129" t="e">
        <f>SUMIFS(J26:J176,A26:A176,"CAPEX",L26:L176,"HDP",M26:M176,"")</f>
        <v>#REF!</v>
      </c>
      <c r="O192" s="129" t="e">
        <f>SUMIFS(H26:H176,A26:A176,"CAPEX",L26:L176,"HDP",M26:M176,"")-(SUMIFS(H26:H176,A26:A176,"CAPEX",L26:L176,"HDP",M26:M176,""))*E181</f>
        <v>#REF!</v>
      </c>
      <c r="P192" s="130" t="e">
        <f t="shared" si="28"/>
        <v>#REF!</v>
      </c>
      <c r="Q192" s="459"/>
    </row>
    <row r="193" spans="4:17" x14ac:dyDescent="0.2">
      <c r="M193" s="128" t="s">
        <v>202</v>
      </c>
      <c r="N193" s="129" t="e">
        <f>SUMIFS(J26:J176,A26:A176,"OPEX",L26:L176,"HDP",M26:M176,"")</f>
        <v>#REF!</v>
      </c>
      <c r="O193" s="129" t="e">
        <f>SUMIFS(H26:H176,A26:A176,"OPEX",L26:L176,"HDP",M26:M176,"")-(SUMIFS(H26:H176,A26:A176,"OPEX",L26:L176,"HDP",M26:M176,""))*E181</f>
        <v>#REF!</v>
      </c>
      <c r="P193" s="130" t="e">
        <f t="shared" si="28"/>
        <v>#REF!</v>
      </c>
      <c r="Q193" s="459"/>
    </row>
    <row r="194" spans="4:17" x14ac:dyDescent="0.2">
      <c r="M194" s="128"/>
      <c r="N194" s="129">
        <f>SUMIFS(J26:J176,A26:A176,"OPEX",L26:L176,"HDP",M26:M176,"SES-17")</f>
        <v>0</v>
      </c>
      <c r="O194" s="129">
        <f>SUMIFS(H47:H175,A47:A175,"OPEX",L47:L175,"HDP",P47:P175,"SES-17")-(SUMIFS(H47:H175,A47:A175,"OPEX",L47:L175,"HDP",P47:P175,"SES-17"))*E181</f>
        <v>0</v>
      </c>
      <c r="P194" s="130"/>
      <c r="Q194" s="459"/>
    </row>
    <row r="195" spans="4:17" ht="18.75" x14ac:dyDescent="0.3">
      <c r="D195" s="460" t="s">
        <v>76</v>
      </c>
      <c r="E195" s="460"/>
      <c r="F195" s="460" t="s">
        <v>74</v>
      </c>
      <c r="G195" s="460" t="s">
        <v>73</v>
      </c>
      <c r="H195" s="460" t="s">
        <v>3</v>
      </c>
      <c r="I195" s="462" t="s">
        <v>77</v>
      </c>
      <c r="J195" s="460" t="s">
        <v>78</v>
      </c>
      <c r="K195" s="462" t="s">
        <v>79</v>
      </c>
      <c r="M195" s="131"/>
      <c r="N195" s="132" t="e">
        <f>N186+N191</f>
        <v>#REF!</v>
      </c>
      <c r="O195" s="132" t="e">
        <f>O186+O191</f>
        <v>#REF!</v>
      </c>
      <c r="P195" s="133" t="e">
        <f>1-(N195/O195)</f>
        <v>#REF!</v>
      </c>
    </row>
    <row r="196" spans="4:17" ht="26.85" customHeight="1" x14ac:dyDescent="0.2">
      <c r="D196" s="461"/>
      <c r="E196" s="461"/>
      <c r="F196" s="461"/>
      <c r="G196" s="461"/>
      <c r="H196" s="461"/>
      <c r="I196" s="463"/>
      <c r="J196" s="461"/>
      <c r="K196" s="463"/>
    </row>
    <row r="197" spans="4:17" ht="21" x14ac:dyDescent="0.25">
      <c r="D197" s="42"/>
      <c r="E197" s="42"/>
      <c r="F197" s="42"/>
      <c r="G197" s="42"/>
      <c r="H197" s="42"/>
      <c r="I197" s="43"/>
      <c r="J197" s="43"/>
      <c r="K197" s="43"/>
    </row>
    <row r="198" spans="4:17" ht="23.25" x14ac:dyDescent="0.35">
      <c r="D198" s="456" t="s">
        <v>80</v>
      </c>
      <c r="E198" s="456"/>
      <c r="F198" s="456"/>
      <c r="G198" s="456"/>
      <c r="H198" s="456"/>
      <c r="I198" s="43"/>
      <c r="J198" s="43"/>
      <c r="K198" s="43"/>
      <c r="N198" s="77" t="e">
        <f>J179-N195</f>
        <v>#REF!</v>
      </c>
    </row>
    <row r="199" spans="4:17" x14ac:dyDescent="0.2">
      <c r="D199" s="455" t="s">
        <v>166</v>
      </c>
      <c r="E199" s="455"/>
      <c r="F199" s="451">
        <f>H36+H49-(H36+H49)*E181</f>
        <v>151264.54285714286</v>
      </c>
      <c r="G199" s="451">
        <f>J36+J49</f>
        <v>105885.18</v>
      </c>
      <c r="H199" s="453">
        <f>1-(G199/F199)</f>
        <v>0.30000000000000004</v>
      </c>
      <c r="I199" s="453" t="e">
        <f>G199/$G$218</f>
        <v>#REF!</v>
      </c>
      <c r="J199" s="442">
        <f>G199/$C$7/$C$18</f>
        <v>11.370831185567008</v>
      </c>
      <c r="K199" s="442">
        <f>F199/$C$7/$C$18</f>
        <v>16.244044550810013</v>
      </c>
    </row>
    <row r="200" spans="4:17" x14ac:dyDescent="0.2">
      <c r="D200" s="455"/>
      <c r="E200" s="455"/>
      <c r="F200" s="452"/>
      <c r="G200" s="452"/>
      <c r="H200" s="454"/>
      <c r="I200" s="454"/>
      <c r="J200" s="443"/>
      <c r="K200" s="443"/>
    </row>
    <row r="201" spans="4:17" x14ac:dyDescent="0.2">
      <c r="D201" s="455" t="s">
        <v>81</v>
      </c>
      <c r="E201" s="455"/>
      <c r="F201" s="451">
        <f>H169-H169*E181</f>
        <v>1914030</v>
      </c>
      <c r="G201" s="451">
        <f>J169</f>
        <v>1228760</v>
      </c>
      <c r="H201" s="453">
        <f>1-(G201/F201)</f>
        <v>0.35802469135802473</v>
      </c>
      <c r="I201" s="453" t="e">
        <f>G201/$G$218</f>
        <v>#REF!</v>
      </c>
      <c r="J201" s="442">
        <f>G201/$C$7/$C$18</f>
        <v>131.95446735395188</v>
      </c>
      <c r="K201" s="442">
        <f>F201/$C$7/$C$18</f>
        <v>205.54445876288659</v>
      </c>
    </row>
    <row r="202" spans="4:17" x14ac:dyDescent="0.2">
      <c r="D202" s="455"/>
      <c r="E202" s="455"/>
      <c r="F202" s="452"/>
      <c r="G202" s="452"/>
      <c r="H202" s="454"/>
      <c r="I202" s="454"/>
      <c r="J202" s="443"/>
      <c r="K202" s="443"/>
    </row>
    <row r="203" spans="4:17" x14ac:dyDescent="0.2">
      <c r="D203" s="455" t="s">
        <v>162</v>
      </c>
      <c r="E203" s="455"/>
      <c r="F203" s="451" t="e">
        <f>H160+H176-(H160+H176)*E181</f>
        <v>#REF!</v>
      </c>
      <c r="G203" s="451" t="e">
        <f>J160+J176</f>
        <v>#REF!</v>
      </c>
      <c r="H203" s="453" t="e">
        <f>1-(G203/F203)</f>
        <v>#REF!</v>
      </c>
      <c r="I203" s="453" t="e">
        <f>G203/$G$218</f>
        <v>#REF!</v>
      </c>
      <c r="J203" s="442" t="e">
        <f>G203/$C$7/$C$18</f>
        <v>#REF!</v>
      </c>
      <c r="K203" s="442" t="e">
        <f>F203/$C$7/$C$18</f>
        <v>#REF!</v>
      </c>
    </row>
    <row r="204" spans="4:17" x14ac:dyDescent="0.2">
      <c r="D204" s="455"/>
      <c r="E204" s="455"/>
      <c r="F204" s="452"/>
      <c r="G204" s="452"/>
      <c r="H204" s="454"/>
      <c r="I204" s="454"/>
      <c r="J204" s="443"/>
      <c r="K204" s="443"/>
    </row>
    <row r="205" spans="4:17" x14ac:dyDescent="0.2">
      <c r="D205" s="438" t="s">
        <v>163</v>
      </c>
      <c r="E205" s="438"/>
      <c r="F205" s="444" t="e">
        <f>SUM(F199:F204)</f>
        <v>#REF!</v>
      </c>
      <c r="G205" s="444" t="e">
        <f>SUM(G199:G204)</f>
        <v>#REF!</v>
      </c>
      <c r="H205" s="446" t="e">
        <f>1-(G205/F205)</f>
        <v>#REF!</v>
      </c>
      <c r="I205" s="446" t="e">
        <f>G205/$G$218</f>
        <v>#REF!</v>
      </c>
      <c r="J205" s="448" t="e">
        <f>G205/$C$7/$C$18</f>
        <v>#REF!</v>
      </c>
      <c r="K205" s="448" t="e">
        <f>F205/$C$7/$C$18</f>
        <v>#REF!</v>
      </c>
    </row>
    <row r="206" spans="4:17" x14ac:dyDescent="0.2">
      <c r="D206" s="438"/>
      <c r="E206" s="438"/>
      <c r="F206" s="445"/>
      <c r="G206" s="445"/>
      <c r="H206" s="447"/>
      <c r="I206" s="447"/>
      <c r="J206" s="449"/>
      <c r="K206" s="449"/>
    </row>
    <row r="207" spans="4:17" x14ac:dyDescent="0.2">
      <c r="D207" s="4"/>
      <c r="E207" s="4"/>
    </row>
    <row r="208" spans="4:17" x14ac:dyDescent="0.2">
      <c r="D208" s="4"/>
      <c r="E208" s="4"/>
    </row>
    <row r="209" spans="4:11" x14ac:dyDescent="0.2">
      <c r="D209" s="455" t="s">
        <v>84</v>
      </c>
      <c r="E209" s="455"/>
      <c r="F209" s="451" t="e">
        <f>H64+H72+H79+H95+H111+H148-(H64+H72+H79+H95+H111+H148)*E181</f>
        <v>#REF!</v>
      </c>
      <c r="G209" s="451" t="e">
        <f>J64+J72+J79+J95+J111+J148</f>
        <v>#REF!</v>
      </c>
      <c r="H209" s="453" t="e">
        <f>1-(G209/F209)</f>
        <v>#REF!</v>
      </c>
      <c r="I209" s="453" t="e">
        <f>G209/$G$218</f>
        <v>#REF!</v>
      </c>
      <c r="J209" s="442" t="e">
        <f>G209/$C$7/$C$18</f>
        <v>#REF!</v>
      </c>
      <c r="K209" s="442" t="e">
        <f>F209/$C$7/$C$18</f>
        <v>#REF!</v>
      </c>
    </row>
    <row r="210" spans="4:11" x14ac:dyDescent="0.2">
      <c r="D210" s="455"/>
      <c r="E210" s="455"/>
      <c r="F210" s="452"/>
      <c r="G210" s="452"/>
      <c r="H210" s="454"/>
      <c r="I210" s="454"/>
      <c r="J210" s="443"/>
      <c r="K210" s="443"/>
    </row>
    <row r="211" spans="4:11" x14ac:dyDescent="0.2">
      <c r="D211" s="455" t="s">
        <v>86</v>
      </c>
      <c r="E211" s="455"/>
      <c r="F211" s="451" t="e">
        <f>H124+H137-(H124+H137)*E181</f>
        <v>#REF!</v>
      </c>
      <c r="G211" s="451" t="e">
        <f>J124+J137</f>
        <v>#REF!</v>
      </c>
      <c r="H211" s="453" t="e">
        <f>1-(G211/F211)</f>
        <v>#REF!</v>
      </c>
      <c r="I211" s="453" t="e">
        <f>G211/$G$218</f>
        <v>#REF!</v>
      </c>
      <c r="J211" s="442" t="e">
        <f>G211/$C$7/$C$18</f>
        <v>#REF!</v>
      </c>
      <c r="K211" s="442" t="e">
        <f>F211/$C$7/$C$18</f>
        <v>#REF!</v>
      </c>
    </row>
    <row r="212" spans="4:11" x14ac:dyDescent="0.2">
      <c r="D212" s="455"/>
      <c r="E212" s="455"/>
      <c r="F212" s="452"/>
      <c r="G212" s="452"/>
      <c r="H212" s="454"/>
      <c r="I212" s="454"/>
      <c r="J212" s="443"/>
      <c r="K212" s="443"/>
    </row>
    <row r="213" spans="4:11" x14ac:dyDescent="0.2">
      <c r="D213" s="450" t="s">
        <v>164</v>
      </c>
      <c r="E213" s="450"/>
      <c r="F213" s="451" t="e">
        <f>H56-H56*E181</f>
        <v>#REF!</v>
      </c>
      <c r="G213" s="451" t="e">
        <f>J56</f>
        <v>#REF!</v>
      </c>
      <c r="H213" s="453" t="e">
        <f>1-(G213/F213)</f>
        <v>#REF!</v>
      </c>
      <c r="I213" s="453" t="e">
        <f>G213/$G$218</f>
        <v>#REF!</v>
      </c>
      <c r="J213" s="442" t="e">
        <f>G213/$C$7/$C$18</f>
        <v>#REF!</v>
      </c>
      <c r="K213" s="442" t="e">
        <f>F213/$C$7/$C$18</f>
        <v>#REF!</v>
      </c>
    </row>
    <row r="214" spans="4:11" x14ac:dyDescent="0.2">
      <c r="D214" s="450"/>
      <c r="E214" s="450"/>
      <c r="F214" s="452"/>
      <c r="G214" s="452"/>
      <c r="H214" s="454"/>
      <c r="I214" s="454"/>
      <c r="J214" s="443"/>
      <c r="K214" s="443"/>
    </row>
    <row r="215" spans="4:11" x14ac:dyDescent="0.2">
      <c r="D215" s="438" t="s">
        <v>163</v>
      </c>
      <c r="E215" s="438"/>
      <c r="F215" s="444" t="e">
        <f>SUM(F209:F214)</f>
        <v>#REF!</v>
      </c>
      <c r="G215" s="444" t="e">
        <f>SUM(G209:G214)</f>
        <v>#REF!</v>
      </c>
      <c r="H215" s="446" t="e">
        <f>1-(G215/F215)</f>
        <v>#REF!</v>
      </c>
      <c r="I215" s="446" t="e">
        <f>G215/$G$218</f>
        <v>#REF!</v>
      </c>
      <c r="J215" s="448" t="e">
        <f>G215/$C$7/$C$18</f>
        <v>#REF!</v>
      </c>
      <c r="K215" s="448" t="e">
        <f>F215/$C$7/$C$18</f>
        <v>#REF!</v>
      </c>
    </row>
    <row r="216" spans="4:11" x14ac:dyDescent="0.2">
      <c r="D216" s="438"/>
      <c r="E216" s="438"/>
      <c r="F216" s="445"/>
      <c r="G216" s="445"/>
      <c r="H216" s="447"/>
      <c r="I216" s="447"/>
      <c r="J216" s="449"/>
      <c r="K216" s="449"/>
    </row>
    <row r="217" spans="4:11" ht="15" x14ac:dyDescent="0.25">
      <c r="D217"/>
      <c r="E217"/>
      <c r="F217"/>
      <c r="G217"/>
      <c r="H217"/>
      <c r="I217"/>
      <c r="J217"/>
      <c r="K217"/>
    </row>
    <row r="218" spans="4:11" ht="21" x14ac:dyDescent="0.35">
      <c r="D218" s="441" t="s">
        <v>167</v>
      </c>
      <c r="E218" s="441"/>
      <c r="F218" s="44" t="e">
        <f>F205+F215</f>
        <v>#REF!</v>
      </c>
      <c r="G218" s="44" t="e">
        <f>G205+G215</f>
        <v>#REF!</v>
      </c>
      <c r="H218" s="45" t="e">
        <f>1-(G218/F218)</f>
        <v>#REF!</v>
      </c>
      <c r="I218" s="45" t="e">
        <f>I205+I215</f>
        <v>#REF!</v>
      </c>
      <c r="J218" s="46" t="e">
        <f>J205+J215</f>
        <v>#REF!</v>
      </c>
      <c r="K218" s="46" t="e">
        <f>K205+K215</f>
        <v>#REF!</v>
      </c>
    </row>
    <row r="219" spans="4:11" ht="15" x14ac:dyDescent="0.25">
      <c r="D219" s="438" t="s">
        <v>82</v>
      </c>
      <c r="E219" s="438"/>
      <c r="F219" s="439">
        <f>E164+E165</f>
        <v>970</v>
      </c>
      <c r="G219" s="439" t="s">
        <v>71</v>
      </c>
      <c r="H219"/>
      <c r="I219"/>
      <c r="J219"/>
      <c r="K219"/>
    </row>
    <row r="220" spans="4:11" ht="15" x14ac:dyDescent="0.25">
      <c r="D220" s="438"/>
      <c r="E220" s="438"/>
      <c r="F220" s="440"/>
      <c r="G220" s="440"/>
      <c r="H220"/>
      <c r="I220"/>
      <c r="J220"/>
      <c r="K220"/>
    </row>
    <row r="221" spans="4:11" ht="15" x14ac:dyDescent="0.25">
      <c r="D221" s="438" t="s">
        <v>83</v>
      </c>
      <c r="E221" s="438"/>
      <c r="F221" s="439">
        <f>C7</f>
        <v>388</v>
      </c>
      <c r="G221" s="439" t="s">
        <v>2</v>
      </c>
      <c r="H221"/>
      <c r="I221"/>
      <c r="J221"/>
      <c r="K221" s="47"/>
    </row>
    <row r="222" spans="4:11" ht="15" x14ac:dyDescent="0.25">
      <c r="D222" s="438"/>
      <c r="E222" s="438"/>
      <c r="F222" s="440"/>
      <c r="G222" s="440"/>
      <c r="H222"/>
      <c r="I222"/>
      <c r="J222"/>
      <c r="K222"/>
    </row>
    <row r="223" spans="4:11" ht="15" x14ac:dyDescent="0.25">
      <c r="D223" s="438" t="s">
        <v>85</v>
      </c>
      <c r="E223" s="438"/>
      <c r="F223" s="439">
        <f>C18</f>
        <v>24</v>
      </c>
      <c r="G223" s="439" t="s">
        <v>165</v>
      </c>
      <c r="H223"/>
      <c r="I223"/>
      <c r="J223"/>
      <c r="K223"/>
    </row>
    <row r="224" spans="4:11" x14ac:dyDescent="0.2">
      <c r="D224" s="438"/>
      <c r="E224" s="438"/>
      <c r="F224" s="440"/>
      <c r="G224" s="440"/>
      <c r="H224" s="5"/>
      <c r="I224" s="5"/>
      <c r="J224" s="5"/>
      <c r="K224" s="5"/>
    </row>
  </sheetData>
  <mergeCells count="83">
    <mergeCell ref="A113:L113"/>
    <mergeCell ref="A1:K1"/>
    <mergeCell ref="A4:A20"/>
    <mergeCell ref="B4:C4"/>
    <mergeCell ref="A22:L22"/>
    <mergeCell ref="A24:L24"/>
    <mergeCell ref="A149:L149"/>
    <mergeCell ref="Q186:Q190"/>
    <mergeCell ref="Q191:Q194"/>
    <mergeCell ref="D195:E196"/>
    <mergeCell ref="F195:F196"/>
    <mergeCell ref="G195:G196"/>
    <mergeCell ref="H195:H196"/>
    <mergeCell ref="I195:I196"/>
    <mergeCell ref="J195:J196"/>
    <mergeCell ref="K195:K196"/>
    <mergeCell ref="D198:H198"/>
    <mergeCell ref="D199:E200"/>
    <mergeCell ref="F199:F200"/>
    <mergeCell ref="G199:G200"/>
    <mergeCell ref="H199:H200"/>
    <mergeCell ref="J199:J200"/>
    <mergeCell ref="K199:K200"/>
    <mergeCell ref="D201:E202"/>
    <mergeCell ref="F201:F202"/>
    <mergeCell ref="G201:G202"/>
    <mergeCell ref="H201:H202"/>
    <mergeCell ref="I201:I202"/>
    <mergeCell ref="J201:J202"/>
    <mergeCell ref="K201:K202"/>
    <mergeCell ref="I199:I200"/>
    <mergeCell ref="K203:K204"/>
    <mergeCell ref="D205:E206"/>
    <mergeCell ref="F205:F206"/>
    <mergeCell ref="G205:G206"/>
    <mergeCell ref="H205:H206"/>
    <mergeCell ref="I205:I206"/>
    <mergeCell ref="J205:J206"/>
    <mergeCell ref="K205:K206"/>
    <mergeCell ref="D203:E204"/>
    <mergeCell ref="F203:F204"/>
    <mergeCell ref="G203:G204"/>
    <mergeCell ref="H203:H204"/>
    <mergeCell ref="I203:I204"/>
    <mergeCell ref="J203:J204"/>
    <mergeCell ref="K209:K210"/>
    <mergeCell ref="D211:E212"/>
    <mergeCell ref="F211:F212"/>
    <mergeCell ref="G211:G212"/>
    <mergeCell ref="H211:H212"/>
    <mergeCell ref="I211:I212"/>
    <mergeCell ref="J211:J212"/>
    <mergeCell ref="K211:K212"/>
    <mergeCell ref="D209:E210"/>
    <mergeCell ref="F209:F210"/>
    <mergeCell ref="G209:G210"/>
    <mergeCell ref="H209:H210"/>
    <mergeCell ref="I209:I210"/>
    <mergeCell ref="J209:J210"/>
    <mergeCell ref="K213:K214"/>
    <mergeCell ref="D215:E216"/>
    <mergeCell ref="F215:F216"/>
    <mergeCell ref="G215:G216"/>
    <mergeCell ref="H215:H216"/>
    <mergeCell ref="I215:I216"/>
    <mergeCell ref="J215:J216"/>
    <mergeCell ref="K215:K216"/>
    <mergeCell ref="D213:E214"/>
    <mergeCell ref="F213:F214"/>
    <mergeCell ref="G213:G214"/>
    <mergeCell ref="H213:H214"/>
    <mergeCell ref="I213:I214"/>
    <mergeCell ref="J213:J214"/>
    <mergeCell ref="D223:E224"/>
    <mergeCell ref="F223:F224"/>
    <mergeCell ref="G223:G224"/>
    <mergeCell ref="D218:E218"/>
    <mergeCell ref="D219:E220"/>
    <mergeCell ref="F219:F220"/>
    <mergeCell ref="G219:G220"/>
    <mergeCell ref="D221:E222"/>
    <mergeCell ref="F221:F222"/>
    <mergeCell ref="G221:G222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C6FB-5A6C-41C5-A63B-23BFAB14E68A}">
  <sheetPr>
    <tabColor rgb="FF92D050"/>
  </sheetPr>
  <dimension ref="A1:Q224"/>
  <sheetViews>
    <sheetView topLeftCell="C1" zoomScaleNormal="100" workbookViewId="0">
      <selection activeCell="D173" sqref="D173:E173"/>
    </sheetView>
  </sheetViews>
  <sheetFormatPr baseColWidth="10" defaultColWidth="11.5703125" defaultRowHeight="12" x14ac:dyDescent="0.2"/>
  <cols>
    <col min="1" max="1" width="5.28515625" style="4" customWidth="1"/>
    <col min="2" max="2" width="37.5703125" style="4" customWidth="1"/>
    <col min="3" max="3" width="21.5703125" style="4" customWidth="1"/>
    <col min="4" max="4" width="52.7109375" style="71" customWidth="1"/>
    <col min="5" max="5" width="7" style="3" customWidth="1"/>
    <col min="6" max="6" width="18.7109375" style="4" customWidth="1"/>
    <col min="7" max="7" width="21.140625" style="4" customWidth="1"/>
    <col min="8" max="9" width="16.28515625" style="4" customWidth="1"/>
    <col min="10" max="10" width="21.5703125" style="4" customWidth="1"/>
    <col min="11" max="11" width="24.7109375" style="4" customWidth="1"/>
    <col min="12" max="12" width="11.5703125" style="48"/>
    <col min="13" max="13" width="17.85546875" style="4" customWidth="1"/>
    <col min="14" max="15" width="15.85546875" style="4" customWidth="1"/>
    <col min="16" max="16" width="11.5703125" style="4" customWidth="1"/>
    <col min="17" max="16384" width="11.5703125" style="4"/>
  </cols>
  <sheetData>
    <row r="1" spans="1:11" ht="23.25" x14ac:dyDescent="0.2">
      <c r="A1" s="465" t="s">
        <v>208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</row>
    <row r="4" spans="1:11" ht="15" x14ac:dyDescent="0.25">
      <c r="A4" s="466" t="s">
        <v>7</v>
      </c>
      <c r="B4" s="468" t="s">
        <v>90</v>
      </c>
      <c r="C4" s="468"/>
      <c r="F4"/>
      <c r="G4" s="109" t="s">
        <v>74</v>
      </c>
      <c r="H4" s="109" t="s">
        <v>73</v>
      </c>
      <c r="I4" s="109" t="s">
        <v>145</v>
      </c>
    </row>
    <row r="5" spans="1:11" ht="15" x14ac:dyDescent="0.25">
      <c r="A5" s="466"/>
      <c r="B5" s="50" t="s">
        <v>91</v>
      </c>
      <c r="C5" s="51">
        <v>270</v>
      </c>
      <c r="F5" s="114" t="s">
        <v>0</v>
      </c>
      <c r="G5" s="110" t="e">
        <f>SUMIF(A26:A175,"CAPEX",H26:H175)</f>
        <v>#REF!</v>
      </c>
      <c r="H5" s="110" t="e">
        <f>SUMIF(A26:A175,"CAPEX",J26:J175)</f>
        <v>#REF!</v>
      </c>
      <c r="I5" s="111" t="e">
        <f>1-(H5/G5)</f>
        <v>#REF!</v>
      </c>
    </row>
    <row r="6" spans="1:11" ht="15" x14ac:dyDescent="0.25">
      <c r="A6" s="466"/>
      <c r="B6" s="50" t="s">
        <v>92</v>
      </c>
      <c r="C6" s="52">
        <v>0</v>
      </c>
      <c r="F6" s="114" t="s">
        <v>1</v>
      </c>
      <c r="G6" s="110" t="e">
        <f>SUMIF(A26:A175,"OPEX",H26:H175)</f>
        <v>#REF!</v>
      </c>
      <c r="H6" s="110" t="e">
        <f>SUMIF(A26:A175,"OPEX",J26:J175)</f>
        <v>#REF!</v>
      </c>
      <c r="I6" s="111" t="e">
        <f>1-(H6/G6)</f>
        <v>#REF!</v>
      </c>
    </row>
    <row r="7" spans="1:11" ht="15" x14ac:dyDescent="0.25">
      <c r="A7" s="466"/>
      <c r="B7" s="50" t="s">
        <v>93</v>
      </c>
      <c r="C7" s="53">
        <f>C5+C6</f>
        <v>270</v>
      </c>
      <c r="F7"/>
      <c r="G7" s="112" t="e">
        <f>SUM(G5:G6)</f>
        <v>#REF!</v>
      </c>
      <c r="H7" s="112" t="e">
        <f>SUM(H5:H6)</f>
        <v>#REF!</v>
      </c>
      <c r="I7" s="113" t="e">
        <f>1-(H7/G7)</f>
        <v>#REF!</v>
      </c>
      <c r="K7" s="77"/>
    </row>
    <row r="8" spans="1:11" x14ac:dyDescent="0.2">
      <c r="A8" s="466"/>
      <c r="B8" s="50" t="s">
        <v>98</v>
      </c>
      <c r="C8" s="57">
        <v>0.05</v>
      </c>
      <c r="K8" s="77"/>
    </row>
    <row r="9" spans="1:11" x14ac:dyDescent="0.2">
      <c r="A9" s="466"/>
      <c r="B9" s="50" t="s">
        <v>99</v>
      </c>
      <c r="C9" s="54"/>
    </row>
    <row r="10" spans="1:11" x14ac:dyDescent="0.2">
      <c r="A10" s="466"/>
      <c r="B10" s="50" t="s">
        <v>94</v>
      </c>
      <c r="C10" s="51">
        <v>675</v>
      </c>
    </row>
    <row r="11" spans="1:11" x14ac:dyDescent="0.2">
      <c r="A11" s="466"/>
      <c r="B11" s="50" t="s">
        <v>100</v>
      </c>
      <c r="C11" s="51">
        <v>0</v>
      </c>
    </row>
    <row r="12" spans="1:11" ht="15" x14ac:dyDescent="0.2">
      <c r="A12" s="466"/>
      <c r="B12" s="50" t="s">
        <v>101</v>
      </c>
      <c r="C12" s="51">
        <f>C10+C11</f>
        <v>675</v>
      </c>
      <c r="G12" s="109" t="s">
        <v>158</v>
      </c>
      <c r="H12" s="109" t="s">
        <v>159</v>
      </c>
      <c r="I12" s="109" t="s">
        <v>145</v>
      </c>
    </row>
    <row r="13" spans="1:11" ht="15" x14ac:dyDescent="0.2">
      <c r="A13" s="466"/>
      <c r="B13" s="50" t="s">
        <v>95</v>
      </c>
      <c r="C13" s="56">
        <f>C12/C7</f>
        <v>2.5</v>
      </c>
      <c r="G13" s="110" t="e">
        <f>G7/C7/C18</f>
        <v>#REF!</v>
      </c>
      <c r="H13" s="110" t="e">
        <f>H7/C7/C18</f>
        <v>#REF!</v>
      </c>
      <c r="I13" s="111" t="e">
        <f>1-(H13/G13)</f>
        <v>#REF!</v>
      </c>
    </row>
    <row r="14" spans="1:11" x14ac:dyDescent="0.2">
      <c r="A14" s="466"/>
      <c r="B14" s="50" t="s">
        <v>103</v>
      </c>
      <c r="C14" s="55">
        <v>3.8</v>
      </c>
    </row>
    <row r="15" spans="1:11" x14ac:dyDescent="0.2">
      <c r="A15" s="466"/>
      <c r="B15" s="50" t="s">
        <v>96</v>
      </c>
      <c r="C15" s="56">
        <f>G27+G28+G29+G33</f>
        <v>745.41428571428582</v>
      </c>
    </row>
    <row r="16" spans="1:11" x14ac:dyDescent="0.2">
      <c r="A16" s="466"/>
      <c r="B16" s="50" t="s">
        <v>102</v>
      </c>
      <c r="C16" s="51">
        <v>155</v>
      </c>
    </row>
    <row r="17" spans="1:13" x14ac:dyDescent="0.2">
      <c r="A17" s="466"/>
      <c r="B17" s="50" t="s">
        <v>97</v>
      </c>
      <c r="C17" s="51">
        <v>55</v>
      </c>
    </row>
    <row r="18" spans="1:13" x14ac:dyDescent="0.2">
      <c r="A18" s="466"/>
      <c r="B18" s="50" t="s">
        <v>104</v>
      </c>
      <c r="C18" s="51">
        <v>24</v>
      </c>
    </row>
    <row r="19" spans="1:13" x14ac:dyDescent="0.2">
      <c r="A19" s="466"/>
      <c r="B19" s="50" t="s">
        <v>16</v>
      </c>
      <c r="C19" s="57">
        <v>0.01</v>
      </c>
    </row>
    <row r="20" spans="1:13" x14ac:dyDescent="0.2">
      <c r="A20" s="467"/>
      <c r="B20" s="50" t="s">
        <v>14</v>
      </c>
      <c r="C20" s="51">
        <f>4950/C14</f>
        <v>1302.6315789473686</v>
      </c>
    </row>
    <row r="22" spans="1:13" x14ac:dyDescent="0.2">
      <c r="A22" s="469" t="s">
        <v>209</v>
      </c>
      <c r="B22" s="469"/>
      <c r="C22" s="469"/>
      <c r="D22" s="469"/>
      <c r="E22" s="469"/>
      <c r="F22" s="469"/>
      <c r="G22" s="469"/>
      <c r="H22" s="469"/>
      <c r="I22" s="469"/>
      <c r="J22" s="469"/>
      <c r="K22" s="469"/>
      <c r="L22" s="469"/>
    </row>
    <row r="24" spans="1:13" x14ac:dyDescent="0.2">
      <c r="A24" s="464" t="s">
        <v>127</v>
      </c>
      <c r="B24" s="464"/>
      <c r="C24" s="464"/>
      <c r="D24" s="464"/>
      <c r="E24" s="464"/>
      <c r="F24" s="464"/>
      <c r="G24" s="464"/>
      <c r="H24" s="464"/>
      <c r="I24" s="464"/>
      <c r="J24" s="464"/>
      <c r="K24" s="464"/>
      <c r="L24" s="464"/>
    </row>
    <row r="25" spans="1:13" x14ac:dyDescent="0.2">
      <c r="A25" s="58"/>
      <c r="B25" s="58" t="s">
        <v>125</v>
      </c>
      <c r="C25" s="59"/>
      <c r="D25" s="75"/>
      <c r="E25" s="96"/>
      <c r="F25" s="59"/>
      <c r="G25" s="59"/>
      <c r="H25" s="59"/>
      <c r="I25" s="59"/>
      <c r="J25" s="59"/>
      <c r="K25" s="59"/>
      <c r="L25" s="96"/>
    </row>
    <row r="26" spans="1:13" x14ac:dyDescent="0.2">
      <c r="B26" s="60" t="s">
        <v>105</v>
      </c>
      <c r="C26" s="60" t="s">
        <v>106</v>
      </c>
      <c r="D26" s="73" t="s">
        <v>68</v>
      </c>
      <c r="E26" s="2" t="s">
        <v>69</v>
      </c>
      <c r="F26" s="60" t="s">
        <v>107</v>
      </c>
      <c r="G26" s="60" t="s">
        <v>108</v>
      </c>
      <c r="H26" s="60" t="s">
        <v>109</v>
      </c>
      <c r="I26" s="60" t="s">
        <v>110</v>
      </c>
      <c r="J26" s="60" t="s">
        <v>111</v>
      </c>
      <c r="K26" s="60" t="s">
        <v>13</v>
      </c>
      <c r="L26" s="117" t="s">
        <v>194</v>
      </c>
    </row>
    <row r="27" spans="1:13" x14ac:dyDescent="0.2">
      <c r="A27" s="4" t="s">
        <v>0</v>
      </c>
      <c r="B27" s="4" t="s">
        <v>112</v>
      </c>
      <c r="C27" s="4" t="s">
        <v>113</v>
      </c>
      <c r="D27" s="71" t="s">
        <v>114</v>
      </c>
      <c r="E27" s="98">
        <f>$C$7</f>
        <v>270</v>
      </c>
      <c r="F27" s="4" t="s">
        <v>115</v>
      </c>
      <c r="G27" s="61">
        <f>I27/0.7</f>
        <v>109.71428571428572</v>
      </c>
      <c r="H27" s="62">
        <f>E27*G27</f>
        <v>29622.857142857145</v>
      </c>
      <c r="I27" s="4">
        <v>76.8</v>
      </c>
      <c r="J27" s="62">
        <f>E27*I27</f>
        <v>20736</v>
      </c>
      <c r="K27" s="63">
        <f>1-(J27/H27)</f>
        <v>0.30000000000000004</v>
      </c>
      <c r="L27" s="48" t="s">
        <v>195</v>
      </c>
      <c r="M27" s="4" t="s">
        <v>203</v>
      </c>
    </row>
    <row r="28" spans="1:13" x14ac:dyDescent="0.2">
      <c r="A28" s="4" t="s">
        <v>0</v>
      </c>
      <c r="B28" s="4" t="s">
        <v>117</v>
      </c>
      <c r="C28" s="4" t="s">
        <v>118</v>
      </c>
      <c r="D28" s="71" t="s">
        <v>119</v>
      </c>
      <c r="E28" s="98">
        <v>0</v>
      </c>
      <c r="F28" s="4" t="s">
        <v>115</v>
      </c>
      <c r="G28" s="61">
        <f>I28/0.7</f>
        <v>426.52857142857147</v>
      </c>
      <c r="H28" s="62">
        <f>E28*G28</f>
        <v>0</v>
      </c>
      <c r="I28" s="4">
        <v>298.57</v>
      </c>
      <c r="J28" s="62">
        <f>E28*I28</f>
        <v>0</v>
      </c>
      <c r="K28" s="63" t="e">
        <f>1-(J28/H28)</f>
        <v>#DIV/0!</v>
      </c>
      <c r="L28" s="48" t="s">
        <v>195</v>
      </c>
      <c r="M28" s="4" t="s">
        <v>203</v>
      </c>
    </row>
    <row r="29" spans="1:13" x14ac:dyDescent="0.2">
      <c r="A29" s="4" t="s">
        <v>0</v>
      </c>
      <c r="B29" s="4" t="s">
        <v>122</v>
      </c>
      <c r="C29" s="4" t="s">
        <v>123</v>
      </c>
      <c r="D29" s="71" t="s">
        <v>116</v>
      </c>
      <c r="E29" s="98">
        <f t="shared" ref="E29" si="0">$C$7</f>
        <v>270</v>
      </c>
      <c r="F29" s="4" t="s">
        <v>115</v>
      </c>
      <c r="G29" s="61">
        <f>I29/0.7</f>
        <v>138.45714285714286</v>
      </c>
      <c r="H29" s="62">
        <f>E29*G29</f>
        <v>37383.428571428572</v>
      </c>
      <c r="I29" s="4">
        <v>96.92</v>
      </c>
      <c r="J29" s="62">
        <f>E29*I29</f>
        <v>26168.400000000001</v>
      </c>
      <c r="K29" s="63">
        <f>1-(J29/H29)</f>
        <v>0.29999999999999993</v>
      </c>
      <c r="L29" s="48" t="s">
        <v>195</v>
      </c>
      <c r="M29" s="4" t="s">
        <v>203</v>
      </c>
    </row>
    <row r="30" spans="1:13" x14ac:dyDescent="0.2">
      <c r="A30" s="4" t="s">
        <v>0</v>
      </c>
      <c r="B30" s="4" t="s">
        <v>186</v>
      </c>
      <c r="C30" s="4" t="s">
        <v>187</v>
      </c>
      <c r="D30" s="71" t="s">
        <v>188</v>
      </c>
      <c r="E30" s="98">
        <v>67</v>
      </c>
      <c r="F30" s="4" t="s">
        <v>115</v>
      </c>
      <c r="G30" s="61">
        <f t="shared" ref="G30:G32" si="1">I30/0.7</f>
        <v>410.3</v>
      </c>
      <c r="H30" s="62">
        <f t="shared" ref="H30:H32" si="2">E30*G30</f>
        <v>27490.100000000002</v>
      </c>
      <c r="I30" s="4">
        <v>287.20999999999998</v>
      </c>
      <c r="J30" s="62">
        <f t="shared" ref="J30:J32" si="3">E30*I30</f>
        <v>19243.07</v>
      </c>
      <c r="K30" s="63">
        <f t="shared" ref="K30:K32" si="4">1-(J30/H30)</f>
        <v>0.30000000000000004</v>
      </c>
      <c r="L30" s="48" t="s">
        <v>195</v>
      </c>
      <c r="M30" s="4" t="s">
        <v>203</v>
      </c>
    </row>
    <row r="31" spans="1:13" x14ac:dyDescent="0.2">
      <c r="A31" s="4" t="s">
        <v>0</v>
      </c>
      <c r="B31" s="4" t="s">
        <v>189</v>
      </c>
      <c r="C31" s="4" t="s">
        <v>190</v>
      </c>
      <c r="D31" s="71" t="s">
        <v>191</v>
      </c>
      <c r="E31" s="98">
        <v>2</v>
      </c>
      <c r="F31" s="4" t="s">
        <v>115</v>
      </c>
      <c r="G31" s="61">
        <f t="shared" si="1"/>
        <v>129.4</v>
      </c>
      <c r="H31" s="62">
        <f t="shared" si="2"/>
        <v>258.8</v>
      </c>
      <c r="I31" s="4">
        <v>90.58</v>
      </c>
      <c r="J31" s="62">
        <f t="shared" si="3"/>
        <v>181.16</v>
      </c>
      <c r="K31" s="63">
        <f t="shared" si="4"/>
        <v>0.30000000000000004</v>
      </c>
      <c r="L31" s="48" t="s">
        <v>195</v>
      </c>
      <c r="M31" s="4" t="s">
        <v>203</v>
      </c>
    </row>
    <row r="32" spans="1:13" x14ac:dyDescent="0.2">
      <c r="A32" s="4" t="s">
        <v>0</v>
      </c>
      <c r="C32" s="4" t="s">
        <v>124</v>
      </c>
      <c r="D32" s="71" t="s">
        <v>192</v>
      </c>
      <c r="E32" s="98">
        <v>270</v>
      </c>
      <c r="F32" s="4" t="s">
        <v>115</v>
      </c>
      <c r="G32" s="61">
        <f t="shared" si="1"/>
        <v>20</v>
      </c>
      <c r="H32" s="62">
        <f t="shared" si="2"/>
        <v>5400</v>
      </c>
      <c r="I32" s="4">
        <v>14</v>
      </c>
      <c r="J32" s="62">
        <f t="shared" si="3"/>
        <v>3780</v>
      </c>
      <c r="K32" s="63">
        <f t="shared" si="4"/>
        <v>0.30000000000000004</v>
      </c>
      <c r="L32" s="48" t="s">
        <v>195</v>
      </c>
      <c r="M32" s="4" t="s">
        <v>203</v>
      </c>
    </row>
    <row r="33" spans="1:13" ht="12.75" thickBot="1" x14ac:dyDescent="0.25">
      <c r="A33" s="4" t="s">
        <v>0</v>
      </c>
      <c r="B33" s="64">
        <v>611604104</v>
      </c>
      <c r="C33" s="4" t="s">
        <v>124</v>
      </c>
      <c r="D33" s="71" t="s">
        <v>121</v>
      </c>
      <c r="E33" s="98">
        <v>0</v>
      </c>
      <c r="F33" s="4" t="s">
        <v>115</v>
      </c>
      <c r="G33" s="65">
        <f>I33/0.7</f>
        <v>70.714285714285722</v>
      </c>
      <c r="H33" s="66">
        <f>E33*G33</f>
        <v>0</v>
      </c>
      <c r="I33" s="66">
        <v>49.5</v>
      </c>
      <c r="J33" s="66">
        <f>E33*I33</f>
        <v>0</v>
      </c>
      <c r="K33" s="67" t="e">
        <f>1-(J33/H33)</f>
        <v>#DIV/0!</v>
      </c>
      <c r="L33" s="48" t="s">
        <v>195</v>
      </c>
      <c r="M33" s="4" t="s">
        <v>203</v>
      </c>
    </row>
    <row r="34" spans="1:13" ht="12.75" thickTop="1" x14ac:dyDescent="0.2">
      <c r="G34" s="62"/>
      <c r="H34" s="62">
        <f>SUM(H27:H33)</f>
        <v>100155.18571428572</v>
      </c>
      <c r="I34" s="62"/>
      <c r="J34" s="62">
        <f>SUM(J27:J33)</f>
        <v>70108.63</v>
      </c>
      <c r="K34" s="63">
        <f>1-(J34/H34)</f>
        <v>0.29999999999999993</v>
      </c>
    </row>
    <row r="35" spans="1:13" ht="12.75" thickBot="1" x14ac:dyDescent="0.25">
      <c r="D35" s="71" t="s">
        <v>120</v>
      </c>
      <c r="E35" s="76">
        <v>0</v>
      </c>
      <c r="G35" s="62"/>
      <c r="H35" s="66">
        <f>-H34*E35</f>
        <v>0</v>
      </c>
      <c r="I35" s="62"/>
      <c r="J35" s="62"/>
      <c r="K35" s="63"/>
    </row>
    <row r="36" spans="1:13" ht="12.75" thickTop="1" x14ac:dyDescent="0.2">
      <c r="H36" s="68">
        <f>H34+H35</f>
        <v>100155.18571428572</v>
      </c>
      <c r="I36" s="69"/>
      <c r="J36" s="68">
        <f>J34</f>
        <v>70108.63</v>
      </c>
      <c r="K36" s="70">
        <f>1-(J36/H36)</f>
        <v>0.29999999999999993</v>
      </c>
    </row>
    <row r="37" spans="1:13" x14ac:dyDescent="0.2">
      <c r="H37" s="68"/>
      <c r="I37" s="69"/>
      <c r="J37" s="68"/>
      <c r="K37" s="70"/>
    </row>
    <row r="38" spans="1:13" x14ac:dyDescent="0.2">
      <c r="A38" s="58"/>
      <c r="B38" s="58" t="s">
        <v>126</v>
      </c>
      <c r="C38" s="59"/>
      <c r="D38" s="75"/>
      <c r="E38" s="96"/>
      <c r="F38" s="59"/>
      <c r="G38" s="59"/>
      <c r="H38" s="59"/>
      <c r="I38" s="59"/>
      <c r="J38" s="59"/>
      <c r="K38" s="59"/>
      <c r="L38" s="96"/>
    </row>
    <row r="39" spans="1:13" x14ac:dyDescent="0.2">
      <c r="B39" s="60" t="s">
        <v>105</v>
      </c>
      <c r="C39" s="60" t="s">
        <v>106</v>
      </c>
      <c r="D39" s="73" t="s">
        <v>68</v>
      </c>
      <c r="E39" s="2" t="s">
        <v>69</v>
      </c>
      <c r="F39" s="60" t="s">
        <v>107</v>
      </c>
      <c r="G39" s="60" t="s">
        <v>108</v>
      </c>
      <c r="H39" s="60" t="s">
        <v>109</v>
      </c>
      <c r="I39" s="60" t="s">
        <v>110</v>
      </c>
      <c r="J39" s="60" t="s">
        <v>111</v>
      </c>
      <c r="K39" s="60" t="s">
        <v>13</v>
      </c>
      <c r="L39" s="117" t="s">
        <v>194</v>
      </c>
    </row>
    <row r="40" spans="1:13" x14ac:dyDescent="0.2">
      <c r="A40" s="4" t="s">
        <v>0</v>
      </c>
      <c r="B40" s="4" t="s">
        <v>112</v>
      </c>
      <c r="C40" s="4" t="s">
        <v>113</v>
      </c>
      <c r="D40" s="71" t="s">
        <v>114</v>
      </c>
      <c r="E40" s="98">
        <f>ROUNDUP($C$8*$C$7,0)</f>
        <v>14</v>
      </c>
      <c r="F40" s="4" t="s">
        <v>115</v>
      </c>
      <c r="G40" s="61">
        <f>I40/0.7</f>
        <v>109.71428571428572</v>
      </c>
      <c r="H40" s="62">
        <f>E40*G40</f>
        <v>1536</v>
      </c>
      <c r="I40" s="4">
        <v>76.8</v>
      </c>
      <c r="J40" s="62">
        <f>E40*I40</f>
        <v>1075.2</v>
      </c>
      <c r="K40" s="63">
        <f>1-(J40/H40)</f>
        <v>0.29999999999999993</v>
      </c>
      <c r="L40" s="48" t="s">
        <v>195</v>
      </c>
      <c r="M40" s="4" t="s">
        <v>203</v>
      </c>
    </row>
    <row r="41" spans="1:13" x14ac:dyDescent="0.2">
      <c r="A41" s="4" t="s">
        <v>0</v>
      </c>
      <c r="B41" s="4" t="s">
        <v>117</v>
      </c>
      <c r="C41" s="4" t="s">
        <v>118</v>
      </c>
      <c r="D41" s="71" t="s">
        <v>119</v>
      </c>
      <c r="E41" s="98">
        <v>0</v>
      </c>
      <c r="F41" s="4" t="s">
        <v>115</v>
      </c>
      <c r="G41" s="61">
        <f>I41/0.7</f>
        <v>426.52857142857147</v>
      </c>
      <c r="H41" s="62">
        <f>E41*G41</f>
        <v>0</v>
      </c>
      <c r="I41" s="4">
        <v>298.57</v>
      </c>
      <c r="J41" s="62">
        <f>E41*I41</f>
        <v>0</v>
      </c>
      <c r="K41" s="63" t="e">
        <f>1-(J41/H41)</f>
        <v>#DIV/0!</v>
      </c>
      <c r="L41" s="48" t="s">
        <v>195</v>
      </c>
      <c r="M41" s="4" t="s">
        <v>203</v>
      </c>
    </row>
    <row r="42" spans="1:13" x14ac:dyDescent="0.2">
      <c r="A42" s="4" t="s">
        <v>0</v>
      </c>
      <c r="B42" s="4" t="s">
        <v>122</v>
      </c>
      <c r="C42" s="4" t="s">
        <v>123</v>
      </c>
      <c r="D42" s="71" t="s">
        <v>116</v>
      </c>
      <c r="E42" s="98">
        <f>ROUNDUP($C$8*$C$7,0)</f>
        <v>14</v>
      </c>
      <c r="F42" s="4" t="s">
        <v>115</v>
      </c>
      <c r="G42" s="61">
        <f>I42/0.7</f>
        <v>138.45714285714286</v>
      </c>
      <c r="H42" s="62">
        <f>E42*G42</f>
        <v>1938.4</v>
      </c>
      <c r="I42" s="4">
        <v>96.92</v>
      </c>
      <c r="J42" s="62">
        <f>E42*I42</f>
        <v>1356.88</v>
      </c>
      <c r="K42" s="63">
        <f>1-(J42/H42)</f>
        <v>0.29999999999999993</v>
      </c>
      <c r="L42" s="48" t="s">
        <v>195</v>
      </c>
      <c r="M42" s="4" t="s">
        <v>203</v>
      </c>
    </row>
    <row r="43" spans="1:13" x14ac:dyDescent="0.2">
      <c r="A43" s="4" t="s">
        <v>0</v>
      </c>
      <c r="B43" s="4" t="s">
        <v>186</v>
      </c>
      <c r="C43" s="4" t="s">
        <v>187</v>
      </c>
      <c r="D43" s="71" t="s">
        <v>188</v>
      </c>
      <c r="E43" s="98">
        <v>3</v>
      </c>
      <c r="F43" s="4" t="s">
        <v>115</v>
      </c>
      <c r="G43" s="61">
        <f t="shared" ref="G43:G45" si="5">I43/0.7</f>
        <v>410.3</v>
      </c>
      <c r="H43" s="62">
        <f t="shared" ref="H43:H45" si="6">E43*G43</f>
        <v>1230.9000000000001</v>
      </c>
      <c r="I43" s="4">
        <v>287.20999999999998</v>
      </c>
      <c r="J43" s="62">
        <f t="shared" ref="J43:J45" si="7">E43*I43</f>
        <v>861.62999999999988</v>
      </c>
      <c r="K43" s="63">
        <f t="shared" ref="K43:K45" si="8">1-(J43/H43)</f>
        <v>0.30000000000000016</v>
      </c>
      <c r="L43" s="48" t="s">
        <v>195</v>
      </c>
      <c r="M43" s="4" t="s">
        <v>203</v>
      </c>
    </row>
    <row r="44" spans="1:13" x14ac:dyDescent="0.2">
      <c r="A44" s="4" t="s">
        <v>0</v>
      </c>
      <c r="B44" s="4" t="s">
        <v>189</v>
      </c>
      <c r="C44" s="4" t="s">
        <v>190</v>
      </c>
      <c r="D44" s="71" t="s">
        <v>191</v>
      </c>
      <c r="E44" s="98">
        <v>2</v>
      </c>
      <c r="F44" s="4" t="s">
        <v>115</v>
      </c>
      <c r="G44" s="61">
        <f t="shared" si="5"/>
        <v>129.4</v>
      </c>
      <c r="H44" s="62">
        <f t="shared" si="6"/>
        <v>258.8</v>
      </c>
      <c r="I44" s="4">
        <v>90.58</v>
      </c>
      <c r="J44" s="62">
        <f t="shared" si="7"/>
        <v>181.16</v>
      </c>
      <c r="K44" s="63">
        <f t="shared" si="8"/>
        <v>0.30000000000000004</v>
      </c>
      <c r="L44" s="48" t="s">
        <v>195</v>
      </c>
      <c r="M44" s="4" t="s">
        <v>203</v>
      </c>
    </row>
    <row r="45" spans="1:13" x14ac:dyDescent="0.2">
      <c r="A45" s="4" t="s">
        <v>0</v>
      </c>
      <c r="C45" s="4" t="s">
        <v>124</v>
      </c>
      <c r="D45" s="71" t="s">
        <v>192</v>
      </c>
      <c r="E45" s="98">
        <v>14</v>
      </c>
      <c r="F45" s="4" t="s">
        <v>115</v>
      </c>
      <c r="G45" s="61">
        <f t="shared" si="5"/>
        <v>20</v>
      </c>
      <c r="H45" s="62">
        <f t="shared" si="6"/>
        <v>280</v>
      </c>
      <c r="I45" s="4">
        <v>14</v>
      </c>
      <c r="J45" s="62">
        <f t="shared" si="7"/>
        <v>196</v>
      </c>
      <c r="K45" s="63">
        <f t="shared" si="8"/>
        <v>0.30000000000000004</v>
      </c>
      <c r="L45" s="48" t="s">
        <v>195</v>
      </c>
      <c r="M45" s="4" t="s">
        <v>203</v>
      </c>
    </row>
    <row r="46" spans="1:13" ht="12.75" thickBot="1" x14ac:dyDescent="0.25">
      <c r="A46" s="4" t="s">
        <v>0</v>
      </c>
      <c r="B46" s="64">
        <v>611604104</v>
      </c>
      <c r="C46" s="4" t="s">
        <v>124</v>
      </c>
      <c r="D46" s="71" t="s">
        <v>121</v>
      </c>
      <c r="E46" s="98">
        <v>0</v>
      </c>
      <c r="F46" s="4" t="s">
        <v>115</v>
      </c>
      <c r="G46" s="65">
        <f>I46/0.7</f>
        <v>70.714285714285722</v>
      </c>
      <c r="H46" s="66">
        <f>E46*G46</f>
        <v>0</v>
      </c>
      <c r="I46" s="66">
        <v>49.5</v>
      </c>
      <c r="J46" s="66">
        <f>E46*I46</f>
        <v>0</v>
      </c>
      <c r="K46" s="67" t="e">
        <f>1-(J46/H46)</f>
        <v>#DIV/0!</v>
      </c>
      <c r="L46" s="48" t="s">
        <v>195</v>
      </c>
      <c r="M46" s="4" t="s">
        <v>203</v>
      </c>
    </row>
    <row r="47" spans="1:13" ht="12.75" thickTop="1" x14ac:dyDescent="0.2">
      <c r="G47" s="62"/>
      <c r="H47" s="62">
        <f>SUM(H40:H46)</f>
        <v>5244.1</v>
      </c>
      <c r="I47" s="62"/>
      <c r="J47" s="62">
        <f>SUM(J40:J46)</f>
        <v>3670.87</v>
      </c>
      <c r="K47" s="63">
        <f>1-(J47/H47)</f>
        <v>0.30000000000000004</v>
      </c>
    </row>
    <row r="48" spans="1:13" ht="12.75" thickBot="1" x14ac:dyDescent="0.25">
      <c r="D48" s="71" t="s">
        <v>120</v>
      </c>
      <c r="E48" s="76">
        <v>0</v>
      </c>
      <c r="G48" s="62"/>
      <c r="H48" s="66">
        <f>-H47*E48</f>
        <v>0</v>
      </c>
      <c r="I48" s="62"/>
      <c r="J48" s="62"/>
      <c r="K48" s="63"/>
    </row>
    <row r="49" spans="1:12" ht="12.75" thickTop="1" x14ac:dyDescent="0.2">
      <c r="H49" s="68">
        <f>H47+H48</f>
        <v>5244.1</v>
      </c>
      <c r="I49" s="69"/>
      <c r="J49" s="68">
        <f>J47</f>
        <v>3670.87</v>
      </c>
      <c r="K49" s="70">
        <f>1-(J49/H49)</f>
        <v>0.30000000000000004</v>
      </c>
    </row>
    <row r="50" spans="1:12" x14ac:dyDescent="0.2">
      <c r="A50" s="58"/>
      <c r="B50" s="58" t="s">
        <v>149</v>
      </c>
      <c r="C50" s="59"/>
      <c r="D50" s="75"/>
      <c r="E50" s="96"/>
      <c r="F50" s="59"/>
      <c r="G50" s="59"/>
      <c r="H50" s="59"/>
      <c r="I50" s="59"/>
      <c r="J50" s="59"/>
      <c r="K50" s="59"/>
      <c r="L50" s="96"/>
    </row>
    <row r="51" spans="1:12" x14ac:dyDescent="0.2">
      <c r="B51" s="60" t="s">
        <v>128</v>
      </c>
      <c r="C51" s="60" t="s">
        <v>106</v>
      </c>
      <c r="D51" s="73" t="s">
        <v>68</v>
      </c>
      <c r="E51" s="2" t="s">
        <v>69</v>
      </c>
      <c r="F51" s="60" t="s">
        <v>107</v>
      </c>
      <c r="G51" s="60" t="s">
        <v>108</v>
      </c>
      <c r="H51" s="60" t="s">
        <v>109</v>
      </c>
      <c r="I51" s="60" t="s">
        <v>110</v>
      </c>
      <c r="J51" s="60" t="s">
        <v>111</v>
      </c>
      <c r="K51" s="60" t="s">
        <v>13</v>
      </c>
      <c r="L51" s="117" t="s">
        <v>194</v>
      </c>
    </row>
    <row r="52" spans="1:12" x14ac:dyDescent="0.2">
      <c r="A52" s="4" t="s">
        <v>0</v>
      </c>
      <c r="D52" s="71" t="s">
        <v>150</v>
      </c>
      <c r="E52" s="98">
        <f>C7</f>
        <v>270</v>
      </c>
      <c r="F52" s="4" t="s">
        <v>115</v>
      </c>
      <c r="G52" s="61" t="e">
        <f>I52/0.75</f>
        <v>#REF!</v>
      </c>
      <c r="H52" s="62" t="e">
        <f>E52*G52</f>
        <v>#REF!</v>
      </c>
      <c r="I52" s="4" t="e">
        <f>#REF!+#REF!</f>
        <v>#REF!</v>
      </c>
      <c r="J52" s="62" t="e">
        <f>E52*I52</f>
        <v>#REF!</v>
      </c>
      <c r="K52" s="63" t="e">
        <f>1-(J52/H52)</f>
        <v>#REF!</v>
      </c>
      <c r="L52" s="48" t="s">
        <v>196</v>
      </c>
    </row>
    <row r="53" spans="1:12" ht="12.75" thickBot="1" x14ac:dyDescent="0.25">
      <c r="A53" s="4" t="s">
        <v>0</v>
      </c>
      <c r="E53" s="98">
        <f>ROUNDUP($C$8*$C$7,0)</f>
        <v>14</v>
      </c>
      <c r="F53" s="4" t="s">
        <v>115</v>
      </c>
      <c r="G53" s="65" t="e">
        <f>I53/0.75</f>
        <v>#REF!</v>
      </c>
      <c r="H53" s="66" t="e">
        <f>E53*G53</f>
        <v>#REF!</v>
      </c>
      <c r="I53" s="72" t="e">
        <f>#REF!+#REF!</f>
        <v>#REF!</v>
      </c>
      <c r="J53" s="66" t="e">
        <f>E53*I53</f>
        <v>#REF!</v>
      </c>
      <c r="K53" s="67" t="e">
        <f>1-(J53/H53)</f>
        <v>#REF!</v>
      </c>
      <c r="L53" s="48" t="s">
        <v>196</v>
      </c>
    </row>
    <row r="54" spans="1:12" ht="12.75" thickTop="1" x14ac:dyDescent="0.2">
      <c r="G54" s="62"/>
      <c r="H54" s="62" t="e">
        <f>SUM(H50:H53)</f>
        <v>#REF!</v>
      </c>
      <c r="I54" s="62"/>
      <c r="J54" s="62" t="e">
        <f>SUM(J50:J53)</f>
        <v>#REF!</v>
      </c>
      <c r="K54" s="63" t="e">
        <f>1-(J54/H54)</f>
        <v>#REF!</v>
      </c>
    </row>
    <row r="55" spans="1:12" ht="12.75" thickBot="1" x14ac:dyDescent="0.25">
      <c r="D55" s="71" t="s">
        <v>120</v>
      </c>
      <c r="E55" s="76">
        <v>0</v>
      </c>
      <c r="G55" s="62"/>
      <c r="H55" s="66" t="e">
        <f>-H54*E55</f>
        <v>#REF!</v>
      </c>
      <c r="I55" s="62"/>
      <c r="J55" s="62"/>
      <c r="K55" s="63"/>
    </row>
    <row r="56" spans="1:12" ht="12.75" thickTop="1" x14ac:dyDescent="0.2">
      <c r="H56" s="68" t="e">
        <f>H54+H55</f>
        <v>#REF!</v>
      </c>
      <c r="I56" s="69"/>
      <c r="J56" s="68" t="e">
        <f>J54</f>
        <v>#REF!</v>
      </c>
      <c r="K56" s="70" t="e">
        <f>1-(J56/H56)</f>
        <v>#REF!</v>
      </c>
    </row>
    <row r="58" spans="1:12" x14ac:dyDescent="0.2">
      <c r="A58" s="58"/>
      <c r="B58" s="58" t="s">
        <v>129</v>
      </c>
      <c r="C58" s="59"/>
      <c r="D58" s="75"/>
      <c r="E58" s="96"/>
      <c r="F58" s="59"/>
      <c r="G58" s="59"/>
      <c r="H58" s="59"/>
      <c r="I58" s="59"/>
      <c r="J58" s="59"/>
      <c r="K58" s="59"/>
      <c r="L58" s="96"/>
    </row>
    <row r="59" spans="1:12" x14ac:dyDescent="0.2">
      <c r="B59" s="60" t="s">
        <v>128</v>
      </c>
      <c r="C59" s="60" t="s">
        <v>106</v>
      </c>
      <c r="D59" s="73" t="s">
        <v>68</v>
      </c>
      <c r="E59" s="2" t="s">
        <v>69</v>
      </c>
      <c r="F59" s="60" t="s">
        <v>107</v>
      </c>
      <c r="G59" s="60" t="s">
        <v>108</v>
      </c>
      <c r="H59" s="60" t="s">
        <v>109</v>
      </c>
      <c r="I59" s="60" t="s">
        <v>110</v>
      </c>
      <c r="J59" s="60" t="s">
        <v>111</v>
      </c>
      <c r="K59" s="60" t="s">
        <v>13</v>
      </c>
      <c r="L59" s="117" t="s">
        <v>194</v>
      </c>
    </row>
    <row r="60" spans="1:12" x14ac:dyDescent="0.2">
      <c r="A60" s="4" t="s">
        <v>0</v>
      </c>
      <c r="D60" s="71" t="s">
        <v>151</v>
      </c>
      <c r="E60" s="98">
        <f>$C$7</f>
        <v>270</v>
      </c>
      <c r="F60" s="4" t="s">
        <v>115</v>
      </c>
      <c r="G60" s="61" t="e">
        <f>I60/0.75</f>
        <v>#REF!</v>
      </c>
      <c r="H60" s="62" t="e">
        <f>E60*G60</f>
        <v>#REF!</v>
      </c>
      <c r="I60" s="4" t="e">
        <f>#REF!</f>
        <v>#REF!</v>
      </c>
      <c r="J60" s="62" t="e">
        <f>E60*I60</f>
        <v>#REF!</v>
      </c>
      <c r="K60" s="63" t="e">
        <f>1-(J60/H60)</f>
        <v>#REF!</v>
      </c>
      <c r="L60" s="48" t="s">
        <v>196</v>
      </c>
    </row>
    <row r="61" spans="1:12" ht="12.75" thickBot="1" x14ac:dyDescent="0.25">
      <c r="A61" s="4" t="s">
        <v>0</v>
      </c>
      <c r="E61" s="98">
        <f>ROUNDUP($C$8*$C$7,0)</f>
        <v>14</v>
      </c>
      <c r="F61" s="4" t="s">
        <v>115</v>
      </c>
      <c r="G61" s="65" t="e">
        <f>I61/0.75</f>
        <v>#REF!</v>
      </c>
      <c r="H61" s="66" t="e">
        <f>E61*G61</f>
        <v>#REF!</v>
      </c>
      <c r="I61" s="72" t="e">
        <f>#REF!</f>
        <v>#REF!</v>
      </c>
      <c r="J61" s="66" t="e">
        <f>E61*I61</f>
        <v>#REF!</v>
      </c>
      <c r="K61" s="67" t="e">
        <f>1-(J61/H61)</f>
        <v>#REF!</v>
      </c>
      <c r="L61" s="48" t="s">
        <v>196</v>
      </c>
    </row>
    <row r="62" spans="1:12" ht="12.75" thickTop="1" x14ac:dyDescent="0.2">
      <c r="G62" s="62"/>
      <c r="H62" s="62" t="e">
        <f>SUM(H58:H61)</f>
        <v>#REF!</v>
      </c>
      <c r="I62" s="62"/>
      <c r="J62" s="62" t="e">
        <f>SUM(J58:J61)</f>
        <v>#REF!</v>
      </c>
      <c r="K62" s="63" t="e">
        <f>1-(J62/H62)</f>
        <v>#REF!</v>
      </c>
    </row>
    <row r="63" spans="1:12" ht="12.75" thickBot="1" x14ac:dyDescent="0.25">
      <c r="D63" s="71" t="s">
        <v>120</v>
      </c>
      <c r="E63" s="76">
        <v>0</v>
      </c>
      <c r="G63" s="62"/>
      <c r="H63" s="66" t="e">
        <f>-H62*E63</f>
        <v>#REF!</v>
      </c>
      <c r="I63" s="62"/>
      <c r="J63" s="62"/>
      <c r="K63" s="63"/>
    </row>
    <row r="64" spans="1:12" ht="12.75" thickTop="1" x14ac:dyDescent="0.2">
      <c r="H64" s="68" t="e">
        <f>H62+H63</f>
        <v>#REF!</v>
      </c>
      <c r="I64" s="69"/>
      <c r="J64" s="68" t="e">
        <f>J62</f>
        <v>#REF!</v>
      </c>
      <c r="K64" s="70" t="e">
        <f>1-(J64/H64)</f>
        <v>#REF!</v>
      </c>
    </row>
    <row r="66" spans="1:12" x14ac:dyDescent="0.2">
      <c r="A66" s="58"/>
      <c r="B66" s="58" t="s">
        <v>130</v>
      </c>
      <c r="C66" s="59"/>
      <c r="D66" s="75"/>
      <c r="E66" s="96"/>
      <c r="F66" s="59"/>
      <c r="G66" s="59"/>
      <c r="H66" s="59"/>
      <c r="I66" s="59"/>
      <c r="J66" s="59"/>
      <c r="K66" s="59"/>
      <c r="L66" s="96"/>
    </row>
    <row r="67" spans="1:12" x14ac:dyDescent="0.2">
      <c r="B67" s="60" t="s">
        <v>128</v>
      </c>
      <c r="C67" s="60" t="s">
        <v>106</v>
      </c>
      <c r="D67" s="73" t="s">
        <v>68</v>
      </c>
      <c r="E67" s="2" t="s">
        <v>69</v>
      </c>
      <c r="F67" s="60" t="s">
        <v>107</v>
      </c>
      <c r="G67" s="60" t="s">
        <v>108</v>
      </c>
      <c r="H67" s="60" t="s">
        <v>109</v>
      </c>
      <c r="I67" s="60" t="s">
        <v>110</v>
      </c>
      <c r="J67" s="60" t="s">
        <v>111</v>
      </c>
      <c r="K67" s="60" t="s">
        <v>13</v>
      </c>
      <c r="L67" s="117" t="s">
        <v>194</v>
      </c>
    </row>
    <row r="68" spans="1:12" ht="36" x14ac:dyDescent="0.2">
      <c r="A68" s="4" t="s">
        <v>0</v>
      </c>
      <c r="B68" s="4" t="s">
        <v>131</v>
      </c>
      <c r="C68" s="4" t="s">
        <v>132</v>
      </c>
      <c r="D68" s="71" t="s">
        <v>133</v>
      </c>
      <c r="E68" s="98">
        <f>$C$7</f>
        <v>270</v>
      </c>
      <c r="F68" s="4" t="s">
        <v>115</v>
      </c>
      <c r="G68" s="61" t="e">
        <f>I68/0.75</f>
        <v>#REF!</v>
      </c>
      <c r="H68" s="62" t="e">
        <f>E68*G68</f>
        <v>#REF!</v>
      </c>
      <c r="I68" s="4" t="e">
        <f>#REF!</f>
        <v>#REF!</v>
      </c>
      <c r="J68" s="62" t="e">
        <f>E68*I68</f>
        <v>#REF!</v>
      </c>
      <c r="K68" s="63" t="e">
        <f>1-(J68/H68)</f>
        <v>#REF!</v>
      </c>
      <c r="L68" s="48" t="s">
        <v>196</v>
      </c>
    </row>
    <row r="69" spans="1:12" ht="48.75" thickBot="1" x14ac:dyDescent="0.25">
      <c r="A69" s="4" t="s">
        <v>0</v>
      </c>
      <c r="B69" s="4" t="s">
        <v>131</v>
      </c>
      <c r="C69" s="4" t="s">
        <v>132</v>
      </c>
      <c r="D69" s="71" t="s">
        <v>134</v>
      </c>
      <c r="E69" s="98">
        <f>ROUNDUP($C$8*$C$7,0)</f>
        <v>14</v>
      </c>
      <c r="F69" s="4" t="s">
        <v>115</v>
      </c>
      <c r="G69" s="65" t="e">
        <f>I69/0.75</f>
        <v>#REF!</v>
      </c>
      <c r="H69" s="66" t="e">
        <f>E69*G69</f>
        <v>#REF!</v>
      </c>
      <c r="I69" s="72" t="e">
        <f>#REF!</f>
        <v>#REF!</v>
      </c>
      <c r="J69" s="66" t="e">
        <f>E69*I69</f>
        <v>#REF!</v>
      </c>
      <c r="K69" s="67" t="e">
        <f>1-(J69/H69)</f>
        <v>#REF!</v>
      </c>
      <c r="L69" s="48" t="s">
        <v>196</v>
      </c>
    </row>
    <row r="70" spans="1:12" ht="12.75" thickTop="1" x14ac:dyDescent="0.2">
      <c r="G70" s="62"/>
      <c r="H70" s="62" t="e">
        <f>SUM(H66:H69)</f>
        <v>#REF!</v>
      </c>
      <c r="I70" s="62"/>
      <c r="J70" s="62" t="e">
        <f>SUM(J66:J69)</f>
        <v>#REF!</v>
      </c>
      <c r="K70" s="63" t="e">
        <f>1-(J70/H70)</f>
        <v>#REF!</v>
      </c>
    </row>
    <row r="71" spans="1:12" ht="12.75" thickBot="1" x14ac:dyDescent="0.25">
      <c r="D71" s="71" t="s">
        <v>120</v>
      </c>
      <c r="E71" s="76">
        <v>0</v>
      </c>
      <c r="G71" s="62"/>
      <c r="H71" s="66" t="e">
        <f>-H70*E71</f>
        <v>#REF!</v>
      </c>
      <c r="I71" s="62"/>
      <c r="J71" s="62"/>
      <c r="K71" s="63"/>
    </row>
    <row r="72" spans="1:12" ht="12.75" thickTop="1" x14ac:dyDescent="0.2">
      <c r="H72" s="68" t="e">
        <f>H70+H71</f>
        <v>#REF!</v>
      </c>
      <c r="I72" s="69"/>
      <c r="J72" s="68" t="e">
        <f>J70</f>
        <v>#REF!</v>
      </c>
      <c r="K72" s="70" t="e">
        <f>1-(J72/H72)</f>
        <v>#REF!</v>
      </c>
    </row>
    <row r="74" spans="1:12" x14ac:dyDescent="0.2">
      <c r="A74" s="58"/>
      <c r="B74" s="58" t="s">
        <v>135</v>
      </c>
      <c r="C74" s="59"/>
      <c r="D74" s="75"/>
      <c r="E74" s="96"/>
      <c r="F74" s="59"/>
      <c r="G74" s="59"/>
      <c r="H74" s="59"/>
      <c r="I74" s="59"/>
      <c r="J74" s="59"/>
      <c r="K74" s="59"/>
      <c r="L74" s="96"/>
    </row>
    <row r="75" spans="1:12" x14ac:dyDescent="0.2">
      <c r="B75" s="60" t="s">
        <v>128</v>
      </c>
      <c r="C75" s="60" t="s">
        <v>106</v>
      </c>
      <c r="D75" s="73" t="s">
        <v>68</v>
      </c>
      <c r="E75" s="2" t="s">
        <v>69</v>
      </c>
      <c r="F75" s="60" t="s">
        <v>107</v>
      </c>
      <c r="G75" s="60" t="s">
        <v>108</v>
      </c>
      <c r="H75" s="60" t="s">
        <v>109</v>
      </c>
      <c r="I75" s="60" t="s">
        <v>110</v>
      </c>
      <c r="J75" s="60" t="s">
        <v>111</v>
      </c>
      <c r="K75" s="60" t="s">
        <v>13</v>
      </c>
      <c r="L75" s="117" t="s">
        <v>194</v>
      </c>
    </row>
    <row r="76" spans="1:12" ht="12.75" thickBot="1" x14ac:dyDescent="0.25">
      <c r="A76" s="4" t="s">
        <v>0</v>
      </c>
      <c r="D76" s="71" t="s">
        <v>173</v>
      </c>
      <c r="E76" s="98">
        <v>1</v>
      </c>
      <c r="F76" s="4" t="s">
        <v>115</v>
      </c>
      <c r="G76" s="65">
        <f>I76/0.75</f>
        <v>6666.666666666667</v>
      </c>
      <c r="H76" s="66">
        <f>E76*G76</f>
        <v>6666.666666666667</v>
      </c>
      <c r="I76" s="74">
        <v>5000</v>
      </c>
      <c r="J76" s="66">
        <f>E76*I76</f>
        <v>5000</v>
      </c>
      <c r="K76" s="67">
        <f>1-(J76/H76)</f>
        <v>0.25</v>
      </c>
      <c r="L76" s="48" t="s">
        <v>196</v>
      </c>
    </row>
    <row r="77" spans="1:12" ht="12.75" thickTop="1" x14ac:dyDescent="0.2">
      <c r="G77" s="62"/>
      <c r="H77" s="62">
        <f>SUM(H74:H76)</f>
        <v>6666.666666666667</v>
      </c>
      <c r="I77" s="62"/>
      <c r="J77" s="62">
        <f>SUM(J74:J76)</f>
        <v>5000</v>
      </c>
      <c r="K77" s="63">
        <f>1-(J77/H77)</f>
        <v>0.25</v>
      </c>
    </row>
    <row r="78" spans="1:12" ht="12.75" thickBot="1" x14ac:dyDescent="0.25">
      <c r="D78" s="71" t="s">
        <v>120</v>
      </c>
      <c r="E78" s="76">
        <v>0</v>
      </c>
      <c r="G78" s="62"/>
      <c r="H78" s="66">
        <f>-H77*E78</f>
        <v>0</v>
      </c>
      <c r="I78" s="62"/>
      <c r="J78" s="62"/>
      <c r="K78" s="63"/>
    </row>
    <row r="79" spans="1:12" ht="12.75" thickTop="1" x14ac:dyDescent="0.2">
      <c r="H79" s="68">
        <f>H77+H78</f>
        <v>6666.666666666667</v>
      </c>
      <c r="I79" s="69"/>
      <c r="J79" s="68">
        <f>J77</f>
        <v>5000</v>
      </c>
      <c r="K79" s="70">
        <f>1-(J79/H79)</f>
        <v>0.25</v>
      </c>
    </row>
    <row r="81" spans="1:12" x14ac:dyDescent="0.2">
      <c r="A81" s="58"/>
      <c r="B81" s="58" t="s">
        <v>174</v>
      </c>
      <c r="C81" s="59"/>
      <c r="D81" s="75"/>
      <c r="E81" s="96"/>
      <c r="F81" s="59"/>
      <c r="G81" s="59"/>
      <c r="H81" s="59"/>
      <c r="I81" s="59"/>
      <c r="J81" s="59"/>
      <c r="K81" s="59"/>
      <c r="L81" s="96"/>
    </row>
    <row r="82" spans="1:12" x14ac:dyDescent="0.2">
      <c r="B82" s="60" t="s">
        <v>128</v>
      </c>
      <c r="C82" s="60" t="s">
        <v>106</v>
      </c>
      <c r="D82" s="73" t="s">
        <v>68</v>
      </c>
      <c r="E82" s="2" t="s">
        <v>69</v>
      </c>
      <c r="F82" s="60" t="s">
        <v>107</v>
      </c>
      <c r="G82" s="60" t="s">
        <v>108</v>
      </c>
      <c r="H82" s="60" t="s">
        <v>109</v>
      </c>
      <c r="I82" s="60" t="s">
        <v>110</v>
      </c>
      <c r="J82" s="60" t="s">
        <v>111</v>
      </c>
      <c r="K82" s="60" t="s">
        <v>13</v>
      </c>
      <c r="L82" s="117" t="s">
        <v>194</v>
      </c>
    </row>
    <row r="83" spans="1:12" x14ac:dyDescent="0.2">
      <c r="A83" s="4" t="s">
        <v>0</v>
      </c>
      <c r="D83" s="71" t="s">
        <v>175</v>
      </c>
      <c r="E83" s="98">
        <v>0</v>
      </c>
      <c r="F83" s="4" t="s">
        <v>115</v>
      </c>
      <c r="G83" s="61">
        <f t="shared" ref="G83:G91" si="9">I83/0.75</f>
        <v>0</v>
      </c>
      <c r="H83" s="62">
        <f>E83*G83*$C$18</f>
        <v>0</v>
      </c>
      <c r="I83" s="4">
        <v>0</v>
      </c>
      <c r="J83" s="62">
        <f>E83*I83*$C$18</f>
        <v>0</v>
      </c>
      <c r="K83" s="63" t="e">
        <f t="shared" ref="K83:K93" si="10">1-(J83/H83)</f>
        <v>#DIV/0!</v>
      </c>
      <c r="L83" s="48" t="s">
        <v>196</v>
      </c>
    </row>
    <row r="84" spans="1:12" x14ac:dyDescent="0.2">
      <c r="A84" s="4" t="s">
        <v>0</v>
      </c>
      <c r="D84" s="71" t="s">
        <v>176</v>
      </c>
      <c r="E84" s="98">
        <v>1</v>
      </c>
      <c r="F84" s="4" t="s">
        <v>115</v>
      </c>
      <c r="G84" s="61" t="e">
        <f t="shared" si="9"/>
        <v>#REF!</v>
      </c>
      <c r="H84" s="62" t="e">
        <f>E84*G84</f>
        <v>#REF!</v>
      </c>
      <c r="I84" s="4" t="e">
        <f>#REF!</f>
        <v>#REF!</v>
      </c>
      <c r="J84" s="62" t="e">
        <f>E84*I84</f>
        <v>#REF!</v>
      </c>
      <c r="K84" s="63" t="e">
        <f t="shared" si="10"/>
        <v>#REF!</v>
      </c>
      <c r="L84" s="48" t="s">
        <v>196</v>
      </c>
    </row>
    <row r="85" spans="1:12" x14ac:dyDescent="0.2">
      <c r="A85" s="4" t="s">
        <v>0</v>
      </c>
      <c r="D85" s="71" t="s">
        <v>177</v>
      </c>
      <c r="E85" s="98">
        <v>0</v>
      </c>
      <c r="F85" s="4" t="s">
        <v>115</v>
      </c>
      <c r="G85" s="61">
        <f t="shared" si="9"/>
        <v>0</v>
      </c>
      <c r="H85" s="62">
        <f>E85*G85*$C$18</f>
        <v>0</v>
      </c>
      <c r="I85" s="4">
        <v>0</v>
      </c>
      <c r="J85" s="62">
        <f>E85*I85*$C$18</f>
        <v>0</v>
      </c>
      <c r="K85" s="63" t="e">
        <f t="shared" si="10"/>
        <v>#DIV/0!</v>
      </c>
      <c r="L85" s="48" t="s">
        <v>196</v>
      </c>
    </row>
    <row r="86" spans="1:12" x14ac:dyDescent="0.2">
      <c r="A86" s="4" t="s">
        <v>0</v>
      </c>
      <c r="D86" s="71" t="s">
        <v>178</v>
      </c>
      <c r="E86" s="98">
        <v>0</v>
      </c>
      <c r="F86" s="4" t="s">
        <v>115</v>
      </c>
      <c r="G86" s="61">
        <f t="shared" si="9"/>
        <v>0</v>
      </c>
      <c r="H86" s="62">
        <f>E86*G86*$C$18</f>
        <v>0</v>
      </c>
      <c r="I86" s="4">
        <v>0</v>
      </c>
      <c r="J86" s="62">
        <f>E86*I86*$C$18</f>
        <v>0</v>
      </c>
      <c r="K86" s="63" t="e">
        <f t="shared" si="10"/>
        <v>#DIV/0!</v>
      </c>
      <c r="L86" s="48" t="s">
        <v>196</v>
      </c>
    </row>
    <row r="87" spans="1:12" x14ac:dyDescent="0.2">
      <c r="A87" s="4" t="s">
        <v>0</v>
      </c>
      <c r="D87" s="71" t="s">
        <v>179</v>
      </c>
      <c r="E87" s="98">
        <v>0</v>
      </c>
      <c r="F87" s="4" t="s">
        <v>115</v>
      </c>
      <c r="G87" s="61">
        <f t="shared" si="9"/>
        <v>0</v>
      </c>
      <c r="H87" s="62">
        <f>E87*G87*$C$18</f>
        <v>0</v>
      </c>
      <c r="I87" s="4">
        <v>0</v>
      </c>
      <c r="J87" s="62">
        <f>E87*I87*$C$18</f>
        <v>0</v>
      </c>
      <c r="K87" s="63" t="e">
        <f t="shared" si="10"/>
        <v>#DIV/0!</v>
      </c>
      <c r="L87" s="48" t="s">
        <v>196</v>
      </c>
    </row>
    <row r="88" spans="1:12" x14ac:dyDescent="0.2">
      <c r="A88" s="4" t="s">
        <v>0</v>
      </c>
      <c r="D88" s="71" t="s">
        <v>180</v>
      </c>
      <c r="E88" s="98">
        <v>0</v>
      </c>
      <c r="F88" s="4" t="s">
        <v>115</v>
      </c>
      <c r="G88" s="61">
        <f t="shared" si="9"/>
        <v>0</v>
      </c>
      <c r="H88" s="62">
        <f>E88*G88</f>
        <v>0</v>
      </c>
      <c r="I88" s="4">
        <v>0</v>
      </c>
      <c r="J88" s="62">
        <f>E88*I88</f>
        <v>0</v>
      </c>
      <c r="K88" s="63" t="e">
        <f t="shared" si="10"/>
        <v>#DIV/0!</v>
      </c>
      <c r="L88" s="48" t="s">
        <v>196</v>
      </c>
    </row>
    <row r="89" spans="1:12" x14ac:dyDescent="0.2">
      <c r="A89" s="4" t="s">
        <v>0</v>
      </c>
      <c r="E89" s="98"/>
      <c r="F89" s="4" t="s">
        <v>115</v>
      </c>
      <c r="G89" s="61">
        <f t="shared" si="9"/>
        <v>0</v>
      </c>
      <c r="H89" s="62">
        <f t="shared" ref="H89:H92" si="11">E89*G89</f>
        <v>0</v>
      </c>
      <c r="J89" s="62">
        <f t="shared" ref="J89:J92" si="12">E89*I89</f>
        <v>0</v>
      </c>
      <c r="K89" s="63" t="e">
        <f t="shared" si="10"/>
        <v>#DIV/0!</v>
      </c>
      <c r="L89" s="48" t="s">
        <v>196</v>
      </c>
    </row>
    <row r="90" spans="1:12" x14ac:dyDescent="0.2">
      <c r="A90" s="4" t="s">
        <v>0</v>
      </c>
      <c r="E90" s="98"/>
      <c r="F90" s="4" t="s">
        <v>115</v>
      </c>
      <c r="G90" s="61">
        <f t="shared" si="9"/>
        <v>0</v>
      </c>
      <c r="H90" s="62">
        <f t="shared" si="11"/>
        <v>0</v>
      </c>
      <c r="J90" s="62">
        <f t="shared" si="12"/>
        <v>0</v>
      </c>
      <c r="K90" s="63" t="e">
        <f t="shared" si="10"/>
        <v>#DIV/0!</v>
      </c>
      <c r="L90" s="48" t="s">
        <v>196</v>
      </c>
    </row>
    <row r="91" spans="1:12" x14ac:dyDescent="0.2">
      <c r="A91" s="4" t="s">
        <v>0</v>
      </c>
      <c r="E91" s="98"/>
      <c r="F91" s="4" t="s">
        <v>115</v>
      </c>
      <c r="G91" s="61">
        <f t="shared" si="9"/>
        <v>0</v>
      </c>
      <c r="H91" s="62">
        <f t="shared" si="11"/>
        <v>0</v>
      </c>
      <c r="J91" s="62">
        <f t="shared" si="12"/>
        <v>0</v>
      </c>
      <c r="K91" s="63" t="e">
        <f t="shared" si="10"/>
        <v>#DIV/0!</v>
      </c>
      <c r="L91" s="48" t="s">
        <v>196</v>
      </c>
    </row>
    <row r="92" spans="1:12" ht="12.75" thickBot="1" x14ac:dyDescent="0.25">
      <c r="B92" s="64"/>
      <c r="E92" s="98"/>
      <c r="F92" s="4" t="s">
        <v>115</v>
      </c>
      <c r="G92" s="61">
        <f t="shared" ref="G92" si="13">I92/0.6</f>
        <v>0</v>
      </c>
      <c r="H92" s="66">
        <f t="shared" si="11"/>
        <v>0</v>
      </c>
      <c r="I92" s="72">
        <v>0</v>
      </c>
      <c r="J92" s="66">
        <f t="shared" si="12"/>
        <v>0</v>
      </c>
      <c r="K92" s="67" t="e">
        <f t="shared" si="10"/>
        <v>#DIV/0!</v>
      </c>
      <c r="L92" s="48" t="s">
        <v>196</v>
      </c>
    </row>
    <row r="93" spans="1:12" ht="12.75" thickTop="1" x14ac:dyDescent="0.2">
      <c r="G93" s="62"/>
      <c r="H93" s="62" t="e">
        <f>SUM(H83:H92)</f>
        <v>#REF!</v>
      </c>
      <c r="I93" s="62"/>
      <c r="J93" s="62" t="e">
        <f>SUM(J83:J92)</f>
        <v>#REF!</v>
      </c>
      <c r="K93" s="63" t="e">
        <f t="shared" si="10"/>
        <v>#REF!</v>
      </c>
    </row>
    <row r="94" spans="1:12" ht="12.75" thickBot="1" x14ac:dyDescent="0.25">
      <c r="D94" s="71" t="s">
        <v>120</v>
      </c>
      <c r="E94" s="76">
        <v>0</v>
      </c>
      <c r="G94" s="62"/>
      <c r="H94" s="66" t="e">
        <f>-H93*E94</f>
        <v>#REF!</v>
      </c>
      <c r="I94" s="62"/>
      <c r="J94" s="62"/>
      <c r="K94" s="63"/>
    </row>
    <row r="95" spans="1:12" ht="12.75" thickTop="1" x14ac:dyDescent="0.2">
      <c r="H95" s="68" t="e">
        <f>H93+H94</f>
        <v>#REF!</v>
      </c>
      <c r="I95" s="69"/>
      <c r="J95" s="68" t="e">
        <f>J93</f>
        <v>#REF!</v>
      </c>
      <c r="K95" s="70" t="e">
        <f>1-(J95/H95)</f>
        <v>#REF!</v>
      </c>
    </row>
    <row r="96" spans="1:12" x14ac:dyDescent="0.2">
      <c r="A96" s="58"/>
      <c r="B96" s="58" t="s">
        <v>148</v>
      </c>
      <c r="C96" s="59"/>
      <c r="D96" s="75"/>
      <c r="E96" s="96"/>
      <c r="F96" s="59"/>
      <c r="G96" s="59"/>
      <c r="H96" s="59"/>
      <c r="I96" s="59"/>
      <c r="J96" s="59"/>
      <c r="K96" s="59"/>
      <c r="L96" s="96"/>
    </row>
    <row r="97" spans="1:12" x14ac:dyDescent="0.2">
      <c r="B97" s="60" t="s">
        <v>128</v>
      </c>
      <c r="C97" s="60" t="s">
        <v>106</v>
      </c>
      <c r="D97" s="73" t="s">
        <v>68</v>
      </c>
      <c r="E97" s="2" t="s">
        <v>69</v>
      </c>
      <c r="F97" s="60" t="s">
        <v>107</v>
      </c>
      <c r="G97" s="60" t="s">
        <v>108</v>
      </c>
      <c r="H97" s="60" t="s">
        <v>109</v>
      </c>
      <c r="I97" s="60" t="s">
        <v>110</v>
      </c>
      <c r="J97" s="60" t="s">
        <v>111</v>
      </c>
      <c r="K97" s="60" t="s">
        <v>13</v>
      </c>
      <c r="L97" s="117" t="s">
        <v>194</v>
      </c>
    </row>
    <row r="98" spans="1:12" x14ac:dyDescent="0.2">
      <c r="A98" s="4" t="s">
        <v>0</v>
      </c>
      <c r="B98" s="4" t="s">
        <v>171</v>
      </c>
      <c r="D98" s="71" t="s">
        <v>154</v>
      </c>
      <c r="E98" s="98">
        <f>C7*2</f>
        <v>540</v>
      </c>
      <c r="F98" s="4" t="s">
        <v>115</v>
      </c>
      <c r="G98" s="61" t="e">
        <f t="shared" ref="G98:G107" si="14">I98/0.75</f>
        <v>#REF!</v>
      </c>
      <c r="H98" s="62" t="e">
        <f t="shared" ref="H98:H108" si="15">E98*G98</f>
        <v>#REF!</v>
      </c>
      <c r="I98" s="61" t="e">
        <f>#REF!</f>
        <v>#REF!</v>
      </c>
      <c r="J98" s="62" t="e">
        <f t="shared" ref="J98:J108" si="16">E98*I98</f>
        <v>#REF!</v>
      </c>
      <c r="K98" s="63" t="e">
        <f t="shared" ref="K98:K109" si="17">1-(J98/H98)</f>
        <v>#REF!</v>
      </c>
      <c r="L98" s="48" t="s">
        <v>196</v>
      </c>
    </row>
    <row r="99" spans="1:12" ht="25.35" customHeight="1" x14ac:dyDescent="0.2">
      <c r="A99" s="4" t="s">
        <v>0</v>
      </c>
      <c r="B99" s="4" t="s">
        <v>171</v>
      </c>
      <c r="D99" s="71" t="s">
        <v>172</v>
      </c>
      <c r="E99" s="98">
        <f>C7*2</f>
        <v>540</v>
      </c>
      <c r="F99" s="4" t="s">
        <v>115</v>
      </c>
      <c r="G99" s="61" t="e">
        <f t="shared" si="14"/>
        <v>#REF!</v>
      </c>
      <c r="H99" s="62" t="e">
        <f t="shared" si="15"/>
        <v>#REF!</v>
      </c>
      <c r="I99" s="61" t="e">
        <f>#REF!</f>
        <v>#REF!</v>
      </c>
      <c r="J99" s="62" t="e">
        <f t="shared" si="16"/>
        <v>#REF!</v>
      </c>
      <c r="K99" s="63" t="e">
        <f t="shared" si="17"/>
        <v>#REF!</v>
      </c>
      <c r="L99" s="48" t="s">
        <v>196</v>
      </c>
    </row>
    <row r="100" spans="1:12" x14ac:dyDescent="0.2">
      <c r="A100" s="4" t="s">
        <v>0</v>
      </c>
      <c r="B100" s="4" t="s">
        <v>171</v>
      </c>
      <c r="D100" s="71" t="s">
        <v>155</v>
      </c>
      <c r="E100" s="98">
        <f>C7*2</f>
        <v>540</v>
      </c>
      <c r="F100" s="4" t="s">
        <v>115</v>
      </c>
      <c r="G100" s="61" t="e">
        <f t="shared" si="14"/>
        <v>#REF!</v>
      </c>
      <c r="H100" s="62" t="e">
        <f t="shared" si="15"/>
        <v>#REF!</v>
      </c>
      <c r="I100" s="61" t="e">
        <f>#REF!</f>
        <v>#REF!</v>
      </c>
      <c r="J100" s="62" t="e">
        <f t="shared" si="16"/>
        <v>#REF!</v>
      </c>
      <c r="K100" s="63" t="e">
        <f t="shared" si="17"/>
        <v>#REF!</v>
      </c>
      <c r="L100" s="48" t="s">
        <v>196</v>
      </c>
    </row>
    <row r="101" spans="1:12" ht="24" x14ac:dyDescent="0.2">
      <c r="A101" s="4" t="s">
        <v>0</v>
      </c>
      <c r="B101" s="4" t="s">
        <v>171</v>
      </c>
      <c r="D101" s="71" t="s">
        <v>156</v>
      </c>
      <c r="E101" s="98">
        <f>C7*2</f>
        <v>540</v>
      </c>
      <c r="F101" s="4" t="s">
        <v>115</v>
      </c>
      <c r="G101" s="61" t="e">
        <f t="shared" si="14"/>
        <v>#REF!</v>
      </c>
      <c r="H101" s="62" t="e">
        <f t="shared" si="15"/>
        <v>#REF!</v>
      </c>
      <c r="I101" s="61" t="e">
        <f>#REF!</f>
        <v>#REF!</v>
      </c>
      <c r="J101" s="62" t="e">
        <f t="shared" si="16"/>
        <v>#REF!</v>
      </c>
      <c r="K101" s="63" t="e">
        <f t="shared" si="17"/>
        <v>#REF!</v>
      </c>
      <c r="L101" s="48" t="s">
        <v>196</v>
      </c>
    </row>
    <row r="102" spans="1:12" x14ac:dyDescent="0.2">
      <c r="A102" s="4" t="s">
        <v>0</v>
      </c>
      <c r="B102" s="4" t="s">
        <v>171</v>
      </c>
      <c r="D102" s="71" t="s">
        <v>154</v>
      </c>
      <c r="E102" s="98">
        <f>ROUNDUP($C$8*$C$7,0)*2</f>
        <v>28</v>
      </c>
      <c r="F102" s="4" t="s">
        <v>115</v>
      </c>
      <c r="G102" s="61" t="e">
        <f t="shared" si="14"/>
        <v>#REF!</v>
      </c>
      <c r="H102" s="62" t="e">
        <f t="shared" si="15"/>
        <v>#REF!</v>
      </c>
      <c r="I102" s="61" t="e">
        <f>#REF!</f>
        <v>#REF!</v>
      </c>
      <c r="J102" s="62" t="e">
        <f t="shared" si="16"/>
        <v>#REF!</v>
      </c>
      <c r="K102" s="63" t="e">
        <f t="shared" si="17"/>
        <v>#REF!</v>
      </c>
      <c r="L102" s="48" t="s">
        <v>196</v>
      </c>
    </row>
    <row r="103" spans="1:12" ht="24" x14ac:dyDescent="0.2">
      <c r="A103" s="4" t="s">
        <v>0</v>
      </c>
      <c r="B103" s="4" t="s">
        <v>171</v>
      </c>
      <c r="D103" s="71" t="s">
        <v>172</v>
      </c>
      <c r="E103" s="98">
        <f>ROUNDUP($C$8*$C$7,0)*2</f>
        <v>28</v>
      </c>
      <c r="F103" s="4" t="s">
        <v>115</v>
      </c>
      <c r="G103" s="61" t="e">
        <f t="shared" si="14"/>
        <v>#REF!</v>
      </c>
      <c r="H103" s="62" t="e">
        <f t="shared" si="15"/>
        <v>#REF!</v>
      </c>
      <c r="I103" s="61" t="e">
        <f>#REF!</f>
        <v>#REF!</v>
      </c>
      <c r="J103" s="62" t="e">
        <f t="shared" si="16"/>
        <v>#REF!</v>
      </c>
      <c r="K103" s="63" t="e">
        <f t="shared" si="17"/>
        <v>#REF!</v>
      </c>
      <c r="L103" s="48" t="s">
        <v>196</v>
      </c>
    </row>
    <row r="104" spans="1:12" x14ac:dyDescent="0.2">
      <c r="A104" s="4" t="s">
        <v>0</v>
      </c>
      <c r="B104" s="4" t="s">
        <v>171</v>
      </c>
      <c r="D104" s="71" t="s">
        <v>155</v>
      </c>
      <c r="E104" s="98">
        <f>ROUNDUP($C$8*$C$7,0)*2</f>
        <v>28</v>
      </c>
      <c r="F104" s="4" t="s">
        <v>115</v>
      </c>
      <c r="G104" s="61" t="e">
        <f t="shared" si="14"/>
        <v>#REF!</v>
      </c>
      <c r="H104" s="62" t="e">
        <f t="shared" si="15"/>
        <v>#REF!</v>
      </c>
      <c r="I104" s="61" t="e">
        <f>#REF!</f>
        <v>#REF!</v>
      </c>
      <c r="J104" s="62" t="e">
        <f t="shared" si="16"/>
        <v>#REF!</v>
      </c>
      <c r="K104" s="63" t="e">
        <f t="shared" si="17"/>
        <v>#REF!</v>
      </c>
      <c r="L104" s="48" t="s">
        <v>196</v>
      </c>
    </row>
    <row r="105" spans="1:12" x14ac:dyDescent="0.2">
      <c r="E105" s="98">
        <v>0</v>
      </c>
      <c r="F105" s="4" t="s">
        <v>115</v>
      </c>
      <c r="G105" s="61">
        <f t="shared" si="14"/>
        <v>0</v>
      </c>
      <c r="H105" s="62">
        <f t="shared" si="15"/>
        <v>0</v>
      </c>
      <c r="I105" s="61">
        <v>0</v>
      </c>
      <c r="J105" s="62">
        <f t="shared" si="16"/>
        <v>0</v>
      </c>
      <c r="K105" s="63" t="e">
        <f t="shared" si="17"/>
        <v>#DIV/0!</v>
      </c>
      <c r="L105" s="48" t="s">
        <v>196</v>
      </c>
    </row>
    <row r="106" spans="1:12" x14ac:dyDescent="0.2">
      <c r="E106" s="98">
        <v>0</v>
      </c>
      <c r="F106" s="4" t="s">
        <v>115</v>
      </c>
      <c r="G106" s="61">
        <f t="shared" si="14"/>
        <v>0</v>
      </c>
      <c r="H106" s="62">
        <f t="shared" si="15"/>
        <v>0</v>
      </c>
      <c r="I106" s="61">
        <v>0</v>
      </c>
      <c r="J106" s="62">
        <f t="shared" si="16"/>
        <v>0</v>
      </c>
      <c r="K106" s="63" t="e">
        <f t="shared" si="17"/>
        <v>#DIV/0!</v>
      </c>
      <c r="L106" s="48" t="s">
        <v>196</v>
      </c>
    </row>
    <row r="107" spans="1:12" x14ac:dyDescent="0.2">
      <c r="A107" s="3"/>
      <c r="B107" s="3"/>
      <c r="C107" s="3"/>
      <c r="D107" s="41"/>
      <c r="E107" s="98">
        <v>0</v>
      </c>
      <c r="F107" s="4" t="s">
        <v>115</v>
      </c>
      <c r="G107" s="61">
        <f t="shared" si="14"/>
        <v>0</v>
      </c>
      <c r="H107" s="62">
        <f t="shared" si="15"/>
        <v>0</v>
      </c>
      <c r="I107" s="61">
        <v>0</v>
      </c>
      <c r="J107" s="62">
        <f t="shared" si="16"/>
        <v>0</v>
      </c>
      <c r="K107" s="63" t="e">
        <f t="shared" si="17"/>
        <v>#DIV/0!</v>
      </c>
      <c r="L107" s="48" t="s">
        <v>196</v>
      </c>
    </row>
    <row r="108" spans="1:12" ht="12.75" thickBot="1" x14ac:dyDescent="0.25">
      <c r="B108" s="64"/>
      <c r="E108" s="98"/>
      <c r="F108" s="4" t="s">
        <v>115</v>
      </c>
      <c r="G108" s="61">
        <f t="shared" ref="G108" si="18">I108/0.6</f>
        <v>0</v>
      </c>
      <c r="H108" s="66">
        <f t="shared" si="15"/>
        <v>0</v>
      </c>
      <c r="I108" s="72">
        <v>0</v>
      </c>
      <c r="J108" s="66">
        <f t="shared" si="16"/>
        <v>0</v>
      </c>
      <c r="K108" s="67" t="e">
        <f t="shared" si="17"/>
        <v>#DIV/0!</v>
      </c>
      <c r="L108" s="48" t="s">
        <v>196</v>
      </c>
    </row>
    <row r="109" spans="1:12" ht="12.75" thickTop="1" x14ac:dyDescent="0.2">
      <c r="G109" s="62"/>
      <c r="H109" s="62" t="e">
        <f>SUM(H98:H108)</f>
        <v>#REF!</v>
      </c>
      <c r="I109" s="62"/>
      <c r="J109" s="62" t="e">
        <f>SUM(J98:J108)</f>
        <v>#REF!</v>
      </c>
      <c r="K109" s="63" t="e">
        <f t="shared" si="17"/>
        <v>#REF!</v>
      </c>
    </row>
    <row r="110" spans="1:12" ht="12.75" thickBot="1" x14ac:dyDescent="0.25">
      <c r="D110" s="71" t="s">
        <v>120</v>
      </c>
      <c r="E110" s="76">
        <v>0</v>
      </c>
      <c r="G110" s="62"/>
      <c r="H110" s="66" t="e">
        <f>-H109*E110</f>
        <v>#REF!</v>
      </c>
      <c r="I110" s="62"/>
      <c r="J110" s="62"/>
      <c r="K110" s="63"/>
    </row>
    <row r="111" spans="1:12" ht="12.75" thickTop="1" x14ac:dyDescent="0.2">
      <c r="H111" s="68" t="e">
        <f>H109+H110</f>
        <v>#REF!</v>
      </c>
      <c r="I111" s="69"/>
      <c r="J111" s="68" t="e">
        <f>J109</f>
        <v>#REF!</v>
      </c>
      <c r="K111" s="70" t="e">
        <f>1-(J111/H111)</f>
        <v>#REF!</v>
      </c>
    </row>
    <row r="113" spans="1:13" x14ac:dyDescent="0.2">
      <c r="A113" s="464" t="s">
        <v>136</v>
      </c>
      <c r="B113" s="464"/>
      <c r="C113" s="464"/>
      <c r="D113" s="464"/>
      <c r="E113" s="464"/>
      <c r="F113" s="464"/>
      <c r="G113" s="464"/>
      <c r="H113" s="464"/>
      <c r="I113" s="464"/>
      <c r="J113" s="464"/>
      <c r="K113" s="464"/>
      <c r="L113" s="464"/>
    </row>
    <row r="114" spans="1:13" x14ac:dyDescent="0.2">
      <c r="A114" s="58"/>
      <c r="B114" s="58" t="s">
        <v>136</v>
      </c>
      <c r="C114" s="59"/>
      <c r="D114" s="75"/>
      <c r="E114" s="96"/>
      <c r="F114" s="59"/>
      <c r="G114" s="59"/>
      <c r="H114" s="59"/>
      <c r="I114" s="59"/>
      <c r="J114" s="59"/>
      <c r="K114" s="59"/>
      <c r="L114" s="96"/>
    </row>
    <row r="115" spans="1:13" x14ac:dyDescent="0.2">
      <c r="B115" s="60" t="s">
        <v>128</v>
      </c>
      <c r="C115" s="60" t="s">
        <v>106</v>
      </c>
      <c r="D115" s="73" t="s">
        <v>68</v>
      </c>
      <c r="E115" s="2" t="s">
        <v>69</v>
      </c>
      <c r="F115" s="60" t="s">
        <v>107</v>
      </c>
      <c r="G115" s="60" t="s">
        <v>108</v>
      </c>
      <c r="H115" s="60" t="s">
        <v>109</v>
      </c>
      <c r="I115" s="60" t="s">
        <v>110</v>
      </c>
      <c r="J115" s="60" t="s">
        <v>111</v>
      </c>
      <c r="K115" s="60" t="s">
        <v>13</v>
      </c>
      <c r="L115" s="117" t="s">
        <v>194</v>
      </c>
    </row>
    <row r="116" spans="1:13" x14ac:dyDescent="0.2">
      <c r="A116" s="4" t="s">
        <v>0</v>
      </c>
      <c r="D116" s="71" t="s">
        <v>9</v>
      </c>
      <c r="E116" s="98">
        <f>ROUNDUP(10%*$C$7,0)</f>
        <v>27</v>
      </c>
      <c r="F116" s="4" t="s">
        <v>115</v>
      </c>
      <c r="G116" s="61" t="e">
        <f t="shared" ref="G116:G121" si="19">I116/0.75</f>
        <v>#REF!</v>
      </c>
      <c r="H116" s="62" t="e">
        <f>E116*G116</f>
        <v>#REF!</v>
      </c>
      <c r="I116" s="61" t="e">
        <f>#REF!+#REF!</f>
        <v>#REF!</v>
      </c>
      <c r="J116" s="62" t="e">
        <f>E116*I116</f>
        <v>#REF!</v>
      </c>
      <c r="K116" s="63" t="e">
        <f t="shared" ref="K116:K122" si="20">1-(J116/H116)</f>
        <v>#REF!</v>
      </c>
      <c r="L116" s="48" t="s">
        <v>196</v>
      </c>
    </row>
    <row r="117" spans="1:13" x14ac:dyDescent="0.2">
      <c r="A117" s="4" t="s">
        <v>0</v>
      </c>
      <c r="D117" s="71" t="s">
        <v>6</v>
      </c>
      <c r="E117" s="98">
        <f>ROUNDUP(110%*$C$7,0)</f>
        <v>297</v>
      </c>
      <c r="F117" s="4" t="s">
        <v>115</v>
      </c>
      <c r="G117" s="61">
        <f t="shared" si="19"/>
        <v>6.666666666666667</v>
      </c>
      <c r="H117" s="62">
        <f>E117*G117*6</f>
        <v>11880</v>
      </c>
      <c r="I117" s="4">
        <v>5</v>
      </c>
      <c r="J117" s="62">
        <f>E117*I117*6</f>
        <v>8910</v>
      </c>
      <c r="K117" s="63">
        <f t="shared" si="20"/>
        <v>0.25</v>
      </c>
      <c r="L117" s="48" t="s">
        <v>196</v>
      </c>
    </row>
    <row r="118" spans="1:13" ht="24" x14ac:dyDescent="0.2">
      <c r="A118" s="4" t="s">
        <v>0</v>
      </c>
      <c r="D118" s="71" t="s">
        <v>160</v>
      </c>
      <c r="E118" s="98">
        <v>2</v>
      </c>
      <c r="F118" s="4" t="s">
        <v>115</v>
      </c>
      <c r="G118" s="61">
        <f t="shared" si="19"/>
        <v>2133.3333333333335</v>
      </c>
      <c r="H118" s="62">
        <f>E118*G118</f>
        <v>4266.666666666667</v>
      </c>
      <c r="I118" s="4">
        <v>1600</v>
      </c>
      <c r="J118" s="62">
        <f>E118*I118</f>
        <v>3200</v>
      </c>
      <c r="K118" s="63">
        <f t="shared" si="20"/>
        <v>0.25</v>
      </c>
      <c r="L118" s="48" t="s">
        <v>196</v>
      </c>
    </row>
    <row r="119" spans="1:13" x14ac:dyDescent="0.2">
      <c r="A119" s="4" t="s">
        <v>0</v>
      </c>
      <c r="D119" s="71" t="s">
        <v>12</v>
      </c>
      <c r="E119" s="98">
        <v>1</v>
      </c>
      <c r="F119" s="4" t="s">
        <v>115</v>
      </c>
      <c r="G119" s="61">
        <f t="shared" si="19"/>
        <v>4666.666666666667</v>
      </c>
      <c r="H119" s="62">
        <f>E119*G119</f>
        <v>4666.666666666667</v>
      </c>
      <c r="I119" s="4">
        <v>3500</v>
      </c>
      <c r="J119" s="62">
        <f>E119*I119</f>
        <v>3500</v>
      </c>
      <c r="K119" s="63">
        <f t="shared" si="20"/>
        <v>0.25</v>
      </c>
      <c r="L119" s="48" t="s">
        <v>196</v>
      </c>
    </row>
    <row r="120" spans="1:13" x14ac:dyDescent="0.2">
      <c r="A120" s="4" t="s">
        <v>0</v>
      </c>
      <c r="D120" s="71" t="s">
        <v>137</v>
      </c>
      <c r="E120" s="98">
        <f>ROUNDUP(10%*$C$7,0)</f>
        <v>27</v>
      </c>
      <c r="F120" s="4" t="s">
        <v>115</v>
      </c>
      <c r="G120" s="61">
        <f t="shared" si="19"/>
        <v>2000</v>
      </c>
      <c r="H120" s="62">
        <f>E120*G120</f>
        <v>54000</v>
      </c>
      <c r="I120" s="61">
        <v>1500</v>
      </c>
      <c r="J120" s="62">
        <f>E120*I120</f>
        <v>40500</v>
      </c>
      <c r="K120" s="63">
        <f t="shared" si="20"/>
        <v>0.25</v>
      </c>
      <c r="L120" s="48" t="s">
        <v>196</v>
      </c>
    </row>
    <row r="121" spans="1:13" ht="12.75" thickBot="1" x14ac:dyDescent="0.25">
      <c r="A121" s="4" t="s">
        <v>0</v>
      </c>
      <c r="B121" s="64"/>
      <c r="D121" s="71" t="s">
        <v>11</v>
      </c>
      <c r="E121" s="98">
        <f t="shared" ref="E121" si="21">$C$7</f>
        <v>270</v>
      </c>
      <c r="F121" s="4" t="s">
        <v>115</v>
      </c>
      <c r="G121" s="65" t="e">
        <f t="shared" si="19"/>
        <v>#REF!</v>
      </c>
      <c r="H121" s="66" t="e">
        <f>E121*G121</f>
        <v>#REF!</v>
      </c>
      <c r="I121" s="66" t="e">
        <f>#REF!+#REF!+#REF!+#REF!</f>
        <v>#REF!</v>
      </c>
      <c r="J121" s="66" t="e">
        <f>E121*I121</f>
        <v>#REF!</v>
      </c>
      <c r="K121" s="67" t="e">
        <f t="shared" si="20"/>
        <v>#REF!</v>
      </c>
      <c r="L121" s="48" t="s">
        <v>196</v>
      </c>
    </row>
    <row r="122" spans="1:13" ht="12.75" thickTop="1" x14ac:dyDescent="0.2">
      <c r="G122" s="62"/>
      <c r="H122" s="62" t="e">
        <f>SUM(H116:H121)</f>
        <v>#REF!</v>
      </c>
      <c r="I122" s="62"/>
      <c r="J122" s="62" t="e">
        <f>SUM(J116:J121)</f>
        <v>#REF!</v>
      </c>
      <c r="K122" s="63" t="e">
        <f t="shared" si="20"/>
        <v>#REF!</v>
      </c>
    </row>
    <row r="123" spans="1:13" ht="12.75" thickBot="1" x14ac:dyDescent="0.25">
      <c r="D123" s="71" t="s">
        <v>120</v>
      </c>
      <c r="E123" s="76">
        <v>0</v>
      </c>
      <c r="G123" s="62"/>
      <c r="H123" s="66" t="e">
        <f>-H122*E123</f>
        <v>#REF!</v>
      </c>
      <c r="I123" s="62"/>
      <c r="J123" s="62"/>
      <c r="K123" s="63"/>
    </row>
    <row r="124" spans="1:13" ht="12.75" thickTop="1" x14ac:dyDescent="0.2">
      <c r="H124" s="68" t="e">
        <f>H122+H123</f>
        <v>#REF!</v>
      </c>
      <c r="I124" s="69"/>
      <c r="J124" s="68" t="e">
        <f>J122</f>
        <v>#REF!</v>
      </c>
      <c r="K124" s="70" t="e">
        <f>1-(J124/H124)</f>
        <v>#REF!</v>
      </c>
    </row>
    <row r="125" spans="1:13" x14ac:dyDescent="0.2">
      <c r="H125" s="68"/>
      <c r="I125" s="69"/>
      <c r="J125" s="68"/>
      <c r="K125" s="70"/>
    </row>
    <row r="126" spans="1:13" x14ac:dyDescent="0.2">
      <c r="A126" s="58"/>
      <c r="B126" s="58" t="s">
        <v>17</v>
      </c>
      <c r="C126" s="59"/>
      <c r="D126" s="75"/>
      <c r="E126" s="96"/>
      <c r="F126" s="59"/>
      <c r="G126" s="59"/>
      <c r="H126" s="59"/>
      <c r="I126" s="59"/>
      <c r="J126" s="59"/>
      <c r="K126" s="59"/>
      <c r="L126" s="96"/>
    </row>
    <row r="127" spans="1:13" x14ac:dyDescent="0.2">
      <c r="B127" s="60" t="s">
        <v>128</v>
      </c>
      <c r="C127" s="60" t="s">
        <v>106</v>
      </c>
      <c r="D127" s="73" t="s">
        <v>68</v>
      </c>
      <c r="E127" s="2" t="s">
        <v>69</v>
      </c>
      <c r="F127" s="60" t="s">
        <v>107</v>
      </c>
      <c r="G127" s="60" t="s">
        <v>108</v>
      </c>
      <c r="H127" s="60" t="s">
        <v>109</v>
      </c>
      <c r="I127" s="60" t="s">
        <v>110</v>
      </c>
      <c r="J127" s="60" t="s">
        <v>111</v>
      </c>
      <c r="K127" s="60" t="s">
        <v>13</v>
      </c>
      <c r="L127" s="117" t="s">
        <v>194</v>
      </c>
    </row>
    <row r="128" spans="1:13" x14ac:dyDescent="0.2">
      <c r="A128" s="4" t="s">
        <v>0</v>
      </c>
      <c r="D128" s="71" t="s">
        <v>89</v>
      </c>
      <c r="E128" s="98">
        <v>1</v>
      </c>
      <c r="F128" s="4" t="s">
        <v>115</v>
      </c>
      <c r="G128" s="62" t="e">
        <f>I128/0.75</f>
        <v>#REF!</v>
      </c>
      <c r="H128" s="62" t="e">
        <f>E128*G128</f>
        <v>#REF!</v>
      </c>
      <c r="I128" s="62" t="e">
        <f>#REF!*$C$7/1376</f>
        <v>#REF!</v>
      </c>
      <c r="J128" s="62" t="e">
        <f>E128*I128</f>
        <v>#REF!</v>
      </c>
      <c r="K128" s="63" t="e">
        <f t="shared" ref="K128:K133" si="22">1-(J128/H128)</f>
        <v>#REF!</v>
      </c>
      <c r="L128" s="48" t="s">
        <v>195</v>
      </c>
      <c r="M128" s="4" t="s">
        <v>203</v>
      </c>
    </row>
    <row r="129" spans="1:13" x14ac:dyDescent="0.2">
      <c r="A129" s="4" t="s">
        <v>0</v>
      </c>
      <c r="D129" s="71" t="s">
        <v>70</v>
      </c>
      <c r="E129" s="98">
        <v>1</v>
      </c>
      <c r="F129" s="4" t="s">
        <v>115</v>
      </c>
      <c r="G129" s="62">
        <f>I129/0.7</f>
        <v>214285.71428571429</v>
      </c>
      <c r="H129" s="62">
        <f>E129*G129</f>
        <v>214285.71428571429</v>
      </c>
      <c r="I129" s="62">
        <v>150000</v>
      </c>
      <c r="J129" s="62">
        <f>E129*I129</f>
        <v>150000</v>
      </c>
      <c r="K129" s="63">
        <f t="shared" si="22"/>
        <v>0.30000000000000004</v>
      </c>
      <c r="L129" s="48" t="s">
        <v>195</v>
      </c>
      <c r="M129" s="4" t="s">
        <v>204</v>
      </c>
    </row>
    <row r="130" spans="1:13" x14ac:dyDescent="0.2">
      <c r="A130" s="4" t="s">
        <v>0</v>
      </c>
      <c r="D130" s="71" t="s">
        <v>87</v>
      </c>
      <c r="E130" s="98">
        <f>C7</f>
        <v>270</v>
      </c>
      <c r="F130" s="4" t="s">
        <v>115</v>
      </c>
      <c r="G130" s="62" t="e">
        <f>I130/0.75</f>
        <v>#REF!</v>
      </c>
      <c r="H130" s="62" t="e">
        <f t="shared" ref="H130:H132" si="23">E130*G130</f>
        <v>#REF!</v>
      </c>
      <c r="I130" s="62" t="e">
        <f>#REF!</f>
        <v>#REF!</v>
      </c>
      <c r="J130" s="62" t="e">
        <f t="shared" ref="J130:J132" si="24">E130*I130</f>
        <v>#REF!</v>
      </c>
      <c r="K130" s="63" t="e">
        <f t="shared" si="22"/>
        <v>#REF!</v>
      </c>
      <c r="L130" s="48" t="s">
        <v>195</v>
      </c>
      <c r="M130" s="4" t="s">
        <v>204</v>
      </c>
    </row>
    <row r="131" spans="1:13" x14ac:dyDescent="0.2">
      <c r="A131" s="4" t="s">
        <v>0</v>
      </c>
      <c r="D131" s="71" t="s">
        <v>168</v>
      </c>
      <c r="E131" s="98">
        <v>6</v>
      </c>
      <c r="F131" s="4" t="s">
        <v>115</v>
      </c>
      <c r="G131" s="62">
        <f>I131/0.7</f>
        <v>28571.428571428572</v>
      </c>
      <c r="H131" s="62">
        <f t="shared" si="23"/>
        <v>171428.57142857142</v>
      </c>
      <c r="I131" s="62">
        <v>20000</v>
      </c>
      <c r="J131" s="62">
        <f t="shared" si="24"/>
        <v>120000</v>
      </c>
      <c r="K131" s="63">
        <f t="shared" si="22"/>
        <v>0.29999999999999993</v>
      </c>
      <c r="L131" s="48" t="s">
        <v>195</v>
      </c>
      <c r="M131" s="4" t="s">
        <v>204</v>
      </c>
    </row>
    <row r="132" spans="1:13" x14ac:dyDescent="0.2">
      <c r="A132" s="4" t="s">
        <v>0</v>
      </c>
      <c r="D132" s="71" t="s">
        <v>169</v>
      </c>
      <c r="E132" s="98">
        <v>1</v>
      </c>
      <c r="F132" s="4" t="s">
        <v>115</v>
      </c>
      <c r="G132" s="62">
        <f>I132/0.75</f>
        <v>266666.66666666669</v>
      </c>
      <c r="H132" s="62">
        <f t="shared" si="23"/>
        <v>266666.66666666669</v>
      </c>
      <c r="I132" s="62">
        <v>200000</v>
      </c>
      <c r="J132" s="62">
        <f t="shared" si="24"/>
        <v>200000</v>
      </c>
      <c r="K132" s="63">
        <f t="shared" si="22"/>
        <v>0.25</v>
      </c>
      <c r="L132" s="48" t="s">
        <v>195</v>
      </c>
      <c r="M132" s="4" t="s">
        <v>204</v>
      </c>
    </row>
    <row r="133" spans="1:13" x14ac:dyDescent="0.2">
      <c r="A133" s="4" t="s">
        <v>0</v>
      </c>
      <c r="E133" s="98">
        <v>0</v>
      </c>
      <c r="F133" s="4" t="s">
        <v>115</v>
      </c>
      <c r="G133" s="62">
        <f t="shared" ref="G133" si="25">I133/0.6</f>
        <v>0</v>
      </c>
      <c r="H133" s="62">
        <f>E133*G133</f>
        <v>0</v>
      </c>
      <c r="I133" s="62">
        <v>0</v>
      </c>
      <c r="J133" s="62">
        <f>E133*I133</f>
        <v>0</v>
      </c>
      <c r="K133" s="63" t="e">
        <f t="shared" si="22"/>
        <v>#DIV/0!</v>
      </c>
    </row>
    <row r="134" spans="1:13" ht="12.75" thickBot="1" x14ac:dyDescent="0.25">
      <c r="B134" s="64"/>
      <c r="E134" s="98"/>
      <c r="G134" s="65"/>
      <c r="H134" s="66"/>
      <c r="I134" s="66"/>
      <c r="J134" s="66"/>
      <c r="K134" s="67"/>
    </row>
    <row r="135" spans="1:13" ht="12.75" thickTop="1" x14ac:dyDescent="0.2">
      <c r="G135" s="62"/>
      <c r="H135" s="62" t="e">
        <f>SUM(H128:H134)</f>
        <v>#REF!</v>
      </c>
      <c r="I135" s="62"/>
      <c r="J135" s="62" t="e">
        <f>SUM(J128:J134)</f>
        <v>#REF!</v>
      </c>
      <c r="K135" s="63" t="e">
        <f>1-(J135/H135)</f>
        <v>#REF!</v>
      </c>
    </row>
    <row r="136" spans="1:13" ht="12.75" thickBot="1" x14ac:dyDescent="0.25">
      <c r="D136" s="71" t="s">
        <v>120</v>
      </c>
      <c r="E136" s="76">
        <v>0</v>
      </c>
      <c r="G136" s="62"/>
      <c r="H136" s="66" t="e">
        <f>-H135*E136</f>
        <v>#REF!</v>
      </c>
      <c r="I136" s="62"/>
      <c r="J136" s="62"/>
      <c r="K136" s="63"/>
    </row>
    <row r="137" spans="1:13" ht="12.75" thickTop="1" x14ac:dyDescent="0.2">
      <c r="H137" s="68" t="e">
        <f>H135+H136</f>
        <v>#REF!</v>
      </c>
      <c r="I137" s="69"/>
      <c r="J137" s="68" t="e">
        <f>J135</f>
        <v>#REF!</v>
      </c>
      <c r="K137" s="70" t="e">
        <f>1-(J137/H137)</f>
        <v>#REF!</v>
      </c>
    </row>
    <row r="138" spans="1:13" x14ac:dyDescent="0.2">
      <c r="M138" s="48"/>
    </row>
    <row r="139" spans="1:13" x14ac:dyDescent="0.2">
      <c r="A139" s="58"/>
      <c r="B139" s="58" t="s">
        <v>146</v>
      </c>
      <c r="C139" s="59"/>
      <c r="D139" s="75"/>
      <c r="E139" s="96"/>
      <c r="F139" s="59"/>
      <c r="G139" s="59"/>
      <c r="H139" s="59"/>
      <c r="I139" s="59"/>
      <c r="J139" s="59"/>
      <c r="K139" s="59"/>
      <c r="L139" s="96"/>
    </row>
    <row r="140" spans="1:13" x14ac:dyDescent="0.2">
      <c r="B140" s="60" t="s">
        <v>128</v>
      </c>
      <c r="C140" s="60" t="s">
        <v>106</v>
      </c>
      <c r="D140" s="73" t="s">
        <v>68</v>
      </c>
      <c r="E140" s="2" t="s">
        <v>69</v>
      </c>
      <c r="F140" s="60" t="s">
        <v>107</v>
      </c>
      <c r="G140" s="60" t="s">
        <v>108</v>
      </c>
      <c r="H140" s="60" t="s">
        <v>109</v>
      </c>
      <c r="I140" s="60" t="s">
        <v>110</v>
      </c>
      <c r="J140" s="60" t="s">
        <v>111</v>
      </c>
      <c r="K140" s="60" t="s">
        <v>13</v>
      </c>
      <c r="L140" s="117" t="s">
        <v>194</v>
      </c>
    </row>
    <row r="141" spans="1:13" x14ac:dyDescent="0.2">
      <c r="A141" s="4" t="s">
        <v>0</v>
      </c>
      <c r="D141" s="71" t="s">
        <v>181</v>
      </c>
      <c r="E141" s="98">
        <f>$C$7</f>
        <v>270</v>
      </c>
      <c r="F141" s="4" t="s">
        <v>115</v>
      </c>
      <c r="G141" s="62">
        <f>I141/0.75</f>
        <v>333.33333333333331</v>
      </c>
      <c r="H141" s="62">
        <f>E141*G141</f>
        <v>90000</v>
      </c>
      <c r="I141" s="62">
        <v>250</v>
      </c>
      <c r="J141" s="62">
        <f>E141*I141</f>
        <v>67500</v>
      </c>
      <c r="K141" s="63">
        <f t="shared" ref="K141:K146" si="26">1-(J141/H141)</f>
        <v>0.25</v>
      </c>
      <c r="L141" s="48" t="s">
        <v>196</v>
      </c>
    </row>
    <row r="142" spans="1:13" x14ac:dyDescent="0.2">
      <c r="A142" s="4" t="s">
        <v>0</v>
      </c>
      <c r="D142" s="71" t="s">
        <v>185</v>
      </c>
      <c r="E142" s="98">
        <f>ROUNDUP($C$8*$C$7,0)</f>
        <v>14</v>
      </c>
      <c r="F142" s="4" t="s">
        <v>115</v>
      </c>
      <c r="G142" s="62">
        <f>I142/0.75</f>
        <v>333.33333333333331</v>
      </c>
      <c r="H142" s="62">
        <f>E142*G142</f>
        <v>4666.6666666666661</v>
      </c>
      <c r="I142" s="62">
        <v>250</v>
      </c>
      <c r="J142" s="62">
        <f>E142*I142</f>
        <v>3500</v>
      </c>
      <c r="K142" s="63">
        <f t="shared" si="26"/>
        <v>0.24999999999999989</v>
      </c>
      <c r="L142" s="48" t="s">
        <v>196</v>
      </c>
    </row>
    <row r="143" spans="1:13" x14ac:dyDescent="0.2">
      <c r="A143" s="4" t="s">
        <v>0</v>
      </c>
      <c r="D143" s="71" t="s">
        <v>182</v>
      </c>
      <c r="E143" s="98">
        <v>1</v>
      </c>
      <c r="F143" s="4" t="s">
        <v>115</v>
      </c>
      <c r="G143" s="62" t="e">
        <f>I143/0.75</f>
        <v>#REF!</v>
      </c>
      <c r="H143" s="62" t="e">
        <f>E143*G143</f>
        <v>#REF!</v>
      </c>
      <c r="I143" s="62" t="e">
        <f>#REF!</f>
        <v>#REF!</v>
      </c>
      <c r="J143" s="62" t="e">
        <f>E143*I143</f>
        <v>#REF!</v>
      </c>
      <c r="K143" s="63" t="e">
        <f t="shared" si="26"/>
        <v>#REF!</v>
      </c>
      <c r="L143" s="48" t="s">
        <v>196</v>
      </c>
    </row>
    <row r="144" spans="1:13" x14ac:dyDescent="0.2">
      <c r="A144" s="4" t="s">
        <v>0</v>
      </c>
      <c r="D144" s="71" t="s">
        <v>183</v>
      </c>
      <c r="E144" s="98">
        <v>1</v>
      </c>
      <c r="F144" s="4" t="s">
        <v>115</v>
      </c>
      <c r="G144" s="62" t="e">
        <f>I144/0.75</f>
        <v>#REF!</v>
      </c>
      <c r="H144" s="62" t="e">
        <f>E144*G144</f>
        <v>#REF!</v>
      </c>
      <c r="I144" s="62" t="e">
        <f>#REF!</f>
        <v>#REF!</v>
      </c>
      <c r="J144" s="62" t="e">
        <f>E144*I144</f>
        <v>#REF!</v>
      </c>
      <c r="K144" s="63" t="e">
        <f t="shared" si="26"/>
        <v>#REF!</v>
      </c>
      <c r="L144" s="48" t="s">
        <v>196</v>
      </c>
    </row>
    <row r="145" spans="1:12" ht="12.75" thickBot="1" x14ac:dyDescent="0.25">
      <c r="A145" s="4" t="s">
        <v>0</v>
      </c>
      <c r="D145" s="71" t="s">
        <v>184</v>
      </c>
      <c r="E145" s="98">
        <v>1</v>
      </c>
      <c r="F145" s="4" t="s">
        <v>115</v>
      </c>
      <c r="G145" s="66" t="e">
        <f>I145/0.75</f>
        <v>#REF!</v>
      </c>
      <c r="H145" s="66" t="e">
        <f>E145*G145</f>
        <v>#REF!</v>
      </c>
      <c r="I145" s="66" t="e">
        <f>#REF!</f>
        <v>#REF!</v>
      </c>
      <c r="J145" s="66" t="e">
        <f>E145*I145</f>
        <v>#REF!</v>
      </c>
      <c r="K145" s="67" t="e">
        <f t="shared" si="26"/>
        <v>#REF!</v>
      </c>
      <c r="L145" s="48" t="s">
        <v>196</v>
      </c>
    </row>
    <row r="146" spans="1:12" ht="12.75" thickTop="1" x14ac:dyDescent="0.2">
      <c r="G146" s="62"/>
      <c r="H146" s="62" t="e">
        <f>SUM(H141:H145)</f>
        <v>#REF!</v>
      </c>
      <c r="I146" s="62"/>
      <c r="J146" s="62" t="e">
        <f>SUM(J141:J145)</f>
        <v>#REF!</v>
      </c>
      <c r="K146" s="63" t="e">
        <f t="shared" si="26"/>
        <v>#REF!</v>
      </c>
    </row>
    <row r="147" spans="1:12" ht="12.75" thickBot="1" x14ac:dyDescent="0.25">
      <c r="D147" s="71" t="s">
        <v>120</v>
      </c>
      <c r="E147" s="76">
        <v>0</v>
      </c>
      <c r="G147" s="62"/>
      <c r="H147" s="66" t="e">
        <f>-H146*E147</f>
        <v>#REF!</v>
      </c>
      <c r="I147" s="62"/>
      <c r="J147" s="62"/>
      <c r="K147" s="63"/>
    </row>
    <row r="148" spans="1:12" ht="12.75" thickTop="1" x14ac:dyDescent="0.2">
      <c r="H148" s="68" t="e">
        <f>H146+H147</f>
        <v>#REF!</v>
      </c>
      <c r="I148" s="69"/>
      <c r="J148" s="68" t="e">
        <f>J146</f>
        <v>#REF!</v>
      </c>
      <c r="K148" s="70" t="e">
        <f>1-(J148/H148)</f>
        <v>#REF!</v>
      </c>
    </row>
    <row r="149" spans="1:12" x14ac:dyDescent="0.2">
      <c r="A149" s="457" t="s">
        <v>139</v>
      </c>
      <c r="B149" s="457"/>
      <c r="C149" s="457"/>
      <c r="D149" s="457"/>
      <c r="E149" s="457"/>
      <c r="F149" s="457"/>
      <c r="G149" s="457"/>
      <c r="H149" s="457"/>
      <c r="I149" s="457"/>
      <c r="J149" s="457"/>
      <c r="K149" s="457"/>
      <c r="L149" s="457"/>
    </row>
    <row r="150" spans="1:12" x14ac:dyDescent="0.2">
      <c r="A150" s="78" t="s">
        <v>5</v>
      </c>
      <c r="B150" s="78" t="s">
        <v>140</v>
      </c>
      <c r="C150" s="79"/>
      <c r="D150" s="80"/>
      <c r="E150" s="97"/>
      <c r="F150" s="79"/>
      <c r="G150" s="79"/>
      <c r="H150" s="79"/>
      <c r="I150" s="79"/>
      <c r="J150" s="79"/>
      <c r="K150" s="79"/>
      <c r="L150" s="97"/>
    </row>
    <row r="151" spans="1:12" x14ac:dyDescent="0.2">
      <c r="B151" s="60" t="s">
        <v>128</v>
      </c>
      <c r="C151" s="60" t="s">
        <v>106</v>
      </c>
      <c r="D151" s="73" t="s">
        <v>68</v>
      </c>
      <c r="E151" s="2" t="s">
        <v>69</v>
      </c>
      <c r="F151" s="60" t="s">
        <v>107</v>
      </c>
      <c r="G151" s="60" t="s">
        <v>108</v>
      </c>
      <c r="H151" s="60" t="s">
        <v>109</v>
      </c>
      <c r="I151" s="60" t="s">
        <v>110</v>
      </c>
      <c r="J151" s="60" t="s">
        <v>111</v>
      </c>
      <c r="K151" s="60" t="s">
        <v>13</v>
      </c>
      <c r="L151" s="117" t="s">
        <v>194</v>
      </c>
    </row>
    <row r="152" spans="1:12" x14ac:dyDescent="0.2">
      <c r="A152" s="4" t="s">
        <v>1</v>
      </c>
      <c r="D152" s="71" t="s">
        <v>193</v>
      </c>
      <c r="E152" s="98">
        <v>30</v>
      </c>
      <c r="F152" s="4" t="s">
        <v>115</v>
      </c>
      <c r="G152" s="61">
        <f>I152/0.7</f>
        <v>10714.285714285716</v>
      </c>
      <c r="H152" s="62">
        <f>E152*G152</f>
        <v>321428.57142857148</v>
      </c>
      <c r="I152" s="61">
        <v>7500</v>
      </c>
      <c r="J152" s="62">
        <f>E152*I152</f>
        <v>225000</v>
      </c>
      <c r="K152" s="63">
        <f t="shared" ref="K152:K156" si="27">1-(J152/H152)</f>
        <v>0.30000000000000016</v>
      </c>
      <c r="L152" s="48" t="s">
        <v>195</v>
      </c>
    </row>
    <row r="153" spans="1:12" x14ac:dyDescent="0.2">
      <c r="A153" s="4" t="s">
        <v>1</v>
      </c>
      <c r="D153" s="71" t="s">
        <v>72</v>
      </c>
      <c r="E153" s="98">
        <v>30</v>
      </c>
      <c r="F153" s="4" t="s">
        <v>115</v>
      </c>
      <c r="G153" s="61" t="e">
        <f>I153/0.7</f>
        <v>#REF!</v>
      </c>
      <c r="H153" s="62" t="e">
        <f>E153*G153</f>
        <v>#REF!</v>
      </c>
      <c r="I153" s="61" t="e">
        <f>#REF!</f>
        <v>#REF!</v>
      </c>
      <c r="J153" s="62" t="e">
        <f>E153*I153</f>
        <v>#REF!</v>
      </c>
      <c r="K153" s="63" t="e">
        <f t="shared" si="27"/>
        <v>#REF!</v>
      </c>
      <c r="L153" s="48" t="s">
        <v>196</v>
      </c>
    </row>
    <row r="154" spans="1:12" ht="24" x14ac:dyDescent="0.2">
      <c r="A154" s="4" t="s">
        <v>1</v>
      </c>
      <c r="D154" s="71" t="s">
        <v>147</v>
      </c>
      <c r="E154" s="98">
        <f>C7</f>
        <v>270</v>
      </c>
      <c r="F154" s="4" t="s">
        <v>115</v>
      </c>
      <c r="G154" s="61">
        <f>I154/0.7</f>
        <v>4.2857142857142856</v>
      </c>
      <c r="H154" s="62">
        <f>E154*G154*24</f>
        <v>27771.428571428572</v>
      </c>
      <c r="I154" s="4">
        <v>3</v>
      </c>
      <c r="J154" s="62">
        <f>E154*I154*24</f>
        <v>19440</v>
      </c>
      <c r="K154" s="63">
        <f t="shared" si="27"/>
        <v>0.30000000000000004</v>
      </c>
      <c r="L154" s="48" t="s">
        <v>195</v>
      </c>
    </row>
    <row r="155" spans="1:12" x14ac:dyDescent="0.2">
      <c r="A155" s="4" t="s">
        <v>1</v>
      </c>
      <c r="D155" s="71" t="s">
        <v>152</v>
      </c>
      <c r="E155" s="98">
        <f>ROUNDUP(30%*$C$7,0)</f>
        <v>81</v>
      </c>
      <c r="F155" s="4" t="s">
        <v>115</v>
      </c>
      <c r="G155" s="61" t="e">
        <f>I155/0.75</f>
        <v>#REF!</v>
      </c>
      <c r="H155" s="62" t="e">
        <f>E155*G155</f>
        <v>#REF!</v>
      </c>
      <c r="I155" s="4" t="e">
        <f>#REF!*2</f>
        <v>#REF!</v>
      </c>
      <c r="J155" s="62" t="e">
        <f>E155*I155</f>
        <v>#REF!</v>
      </c>
      <c r="K155" s="63" t="e">
        <f t="shared" si="27"/>
        <v>#REF!</v>
      </c>
      <c r="L155" s="48" t="s">
        <v>196</v>
      </c>
    </row>
    <row r="156" spans="1:12" x14ac:dyDescent="0.2">
      <c r="A156" s="4" t="s">
        <v>1</v>
      </c>
      <c r="D156" s="71" t="s">
        <v>88</v>
      </c>
      <c r="E156" s="98">
        <f>C7</f>
        <v>270</v>
      </c>
      <c r="F156" s="4" t="s">
        <v>115</v>
      </c>
      <c r="G156" s="61" t="e">
        <f>I156/0.75</f>
        <v>#REF!</v>
      </c>
      <c r="H156" s="62" t="e">
        <f>E156*G156*36</f>
        <v>#REF!</v>
      </c>
      <c r="I156" s="77" t="e">
        <f>#REF!/951</f>
        <v>#REF!</v>
      </c>
      <c r="J156" s="62" t="e">
        <f>E156*I156*36</f>
        <v>#REF!</v>
      </c>
      <c r="K156" s="63" t="e">
        <f t="shared" si="27"/>
        <v>#REF!</v>
      </c>
      <c r="L156" s="48" t="s">
        <v>195</v>
      </c>
    </row>
    <row r="157" spans="1:12" ht="12.75" thickBot="1" x14ac:dyDescent="0.25">
      <c r="B157" s="64"/>
      <c r="E157" s="98"/>
      <c r="G157" s="65"/>
      <c r="H157" s="66"/>
      <c r="I157" s="66"/>
      <c r="J157" s="66"/>
      <c r="K157" s="67"/>
    </row>
    <row r="158" spans="1:12" ht="12.75" thickTop="1" x14ac:dyDescent="0.2">
      <c r="G158" s="62"/>
      <c r="H158" s="62" t="e">
        <f>SUM(H152:H157)</f>
        <v>#REF!</v>
      </c>
      <c r="I158" s="62"/>
      <c r="J158" s="62" t="e">
        <f>SUM(J152:J157)</f>
        <v>#REF!</v>
      </c>
      <c r="K158" s="63" t="e">
        <f>1-(J158/H158)</f>
        <v>#REF!</v>
      </c>
    </row>
    <row r="159" spans="1:12" ht="12.75" thickBot="1" x14ac:dyDescent="0.25">
      <c r="D159" s="71" t="s">
        <v>120</v>
      </c>
      <c r="E159" s="76">
        <v>0</v>
      </c>
      <c r="G159" s="62"/>
      <c r="H159" s="66" t="e">
        <f>-H158*E159</f>
        <v>#REF!</v>
      </c>
      <c r="I159" s="62"/>
      <c r="J159" s="62"/>
      <c r="K159" s="63"/>
    </row>
    <row r="160" spans="1:12" ht="12.75" thickTop="1" x14ac:dyDescent="0.2">
      <c r="H160" s="68" t="e">
        <f>H158+H159</f>
        <v>#REF!</v>
      </c>
      <c r="I160" s="69"/>
      <c r="J160" s="68" t="e">
        <f>J158</f>
        <v>#REF!</v>
      </c>
      <c r="K160" s="70" t="e">
        <f>1-(J160/H160)</f>
        <v>#REF!</v>
      </c>
    </row>
    <row r="162" spans="1:13" x14ac:dyDescent="0.2">
      <c r="A162" s="78"/>
      <c r="B162" s="78" t="s">
        <v>18</v>
      </c>
      <c r="C162" s="79"/>
      <c r="D162" s="80"/>
      <c r="E162" s="97"/>
      <c r="F162" s="79"/>
      <c r="G162" s="79"/>
      <c r="H162" s="79"/>
      <c r="I162" s="79"/>
      <c r="J162" s="79"/>
      <c r="K162" s="79"/>
      <c r="L162" s="97"/>
    </row>
    <row r="163" spans="1:13" x14ac:dyDescent="0.2">
      <c r="B163" s="60" t="s">
        <v>128</v>
      </c>
      <c r="C163" s="60" t="s">
        <v>106</v>
      </c>
      <c r="D163" s="73" t="s">
        <v>68</v>
      </c>
      <c r="E163" s="2" t="s">
        <v>69</v>
      </c>
      <c r="F163" s="60" t="s">
        <v>107</v>
      </c>
      <c r="G163" s="60" t="s">
        <v>108</v>
      </c>
      <c r="H163" s="60" t="s">
        <v>109</v>
      </c>
      <c r="I163" s="60" t="s">
        <v>110</v>
      </c>
      <c r="J163" s="60" t="s">
        <v>111</v>
      </c>
      <c r="K163" s="60" t="s">
        <v>13</v>
      </c>
      <c r="L163" s="117" t="s">
        <v>194</v>
      </c>
      <c r="M163" s="60"/>
    </row>
    <row r="164" spans="1:13" x14ac:dyDescent="0.2">
      <c r="A164" s="4" t="s">
        <v>1</v>
      </c>
      <c r="B164" s="4" t="s">
        <v>141</v>
      </c>
      <c r="D164" s="71" t="s">
        <v>220</v>
      </c>
      <c r="E164" s="98">
        <f>C11</f>
        <v>0</v>
      </c>
      <c r="F164" s="4" t="s">
        <v>115</v>
      </c>
      <c r="G164" s="61">
        <f>I164/0.75</f>
        <v>206.66666666666666</v>
      </c>
      <c r="H164" s="62">
        <f>E164*G164*24</f>
        <v>0</v>
      </c>
      <c r="I164" s="61">
        <f>C16</f>
        <v>155</v>
      </c>
      <c r="J164" s="62">
        <f>E164*I164*24</f>
        <v>0</v>
      </c>
      <c r="K164" s="63" t="e">
        <f>1-(J164/H164)</f>
        <v>#DIV/0!</v>
      </c>
      <c r="L164" s="48" t="s">
        <v>195</v>
      </c>
      <c r="M164" s="4" t="s">
        <v>144</v>
      </c>
    </row>
    <row r="165" spans="1:13" ht="24" x14ac:dyDescent="0.2">
      <c r="A165" s="4" t="s">
        <v>1</v>
      </c>
      <c r="B165" s="4" t="s">
        <v>138</v>
      </c>
      <c r="D165" s="71" t="s">
        <v>222</v>
      </c>
      <c r="E165" s="98">
        <f>C10</f>
        <v>675</v>
      </c>
      <c r="F165" s="4" t="s">
        <v>115</v>
      </c>
      <c r="G165" s="61">
        <v>81</v>
      </c>
      <c r="H165" s="62">
        <f>E165*G165*24</f>
        <v>1312200</v>
      </c>
      <c r="I165" s="61">
        <v>52</v>
      </c>
      <c r="J165" s="62">
        <f>E165*I165*24</f>
        <v>842400</v>
      </c>
      <c r="K165" s="63">
        <f>1-(J165/H165)</f>
        <v>0.35802469135802473</v>
      </c>
      <c r="L165" s="48" t="s">
        <v>195</v>
      </c>
      <c r="M165" s="4" t="s">
        <v>144</v>
      </c>
    </row>
    <row r="166" spans="1:13" ht="12.75" thickBot="1" x14ac:dyDescent="0.25">
      <c r="A166" s="4" t="s">
        <v>1</v>
      </c>
      <c r="B166" s="4" t="s">
        <v>138</v>
      </c>
      <c r="D166" s="71" t="s">
        <v>161</v>
      </c>
      <c r="E166" s="98">
        <v>50</v>
      </c>
      <c r="F166" s="4" t="s">
        <v>115</v>
      </c>
      <c r="G166" s="61">
        <v>81</v>
      </c>
      <c r="H166" s="66">
        <f>E166*G166*7</f>
        <v>28350</v>
      </c>
      <c r="I166" s="65">
        <v>52</v>
      </c>
      <c r="J166" s="66">
        <f>E166*I166*7</f>
        <v>18200</v>
      </c>
      <c r="K166" s="67">
        <f>1-(J166/H166)</f>
        <v>0.35802469135802473</v>
      </c>
      <c r="L166" s="48" t="s">
        <v>195</v>
      </c>
      <c r="M166" s="4" t="s">
        <v>144</v>
      </c>
    </row>
    <row r="167" spans="1:13" ht="12.75" thickTop="1" x14ac:dyDescent="0.2">
      <c r="G167" s="62"/>
      <c r="H167" s="62">
        <f>SUM(H164:H166)</f>
        <v>1340550</v>
      </c>
      <c r="I167" s="62"/>
      <c r="J167" s="62">
        <f>SUM(J164:J166)</f>
        <v>860600</v>
      </c>
      <c r="K167" s="63">
        <f>1-(J167/H167)</f>
        <v>0.35802469135802473</v>
      </c>
    </row>
    <row r="168" spans="1:13" ht="12.75" thickBot="1" x14ac:dyDescent="0.25">
      <c r="D168" s="71" t="s">
        <v>120</v>
      </c>
      <c r="E168" s="76">
        <v>0</v>
      </c>
      <c r="G168" s="62"/>
      <c r="H168" s="66">
        <f>-H167*E168</f>
        <v>0</v>
      </c>
      <c r="I168" s="62"/>
      <c r="J168" s="62"/>
      <c r="K168" s="63"/>
    </row>
    <row r="169" spans="1:13" ht="12.75" thickTop="1" x14ac:dyDescent="0.2">
      <c r="H169" s="68">
        <f>H167+H168</f>
        <v>1340550</v>
      </c>
      <c r="I169" s="69"/>
      <c r="J169" s="68">
        <f>J167</f>
        <v>860600</v>
      </c>
      <c r="K169" s="70">
        <f>1-(J169/H169)</f>
        <v>0.35802469135802473</v>
      </c>
    </row>
    <row r="170" spans="1:13" x14ac:dyDescent="0.2">
      <c r="A170" s="78"/>
      <c r="B170" s="78" t="s">
        <v>8</v>
      </c>
      <c r="C170" s="79"/>
      <c r="D170" s="80"/>
      <c r="E170" s="97"/>
      <c r="F170" s="79"/>
      <c r="G170" s="79"/>
      <c r="H170" s="79"/>
      <c r="I170" s="79"/>
      <c r="J170" s="79"/>
      <c r="K170" s="79"/>
      <c r="L170" s="97"/>
    </row>
    <row r="171" spans="1:13" x14ac:dyDescent="0.2">
      <c r="B171" s="60" t="s">
        <v>128</v>
      </c>
      <c r="C171" s="60" t="s">
        <v>106</v>
      </c>
      <c r="D171" s="73" t="s">
        <v>68</v>
      </c>
      <c r="E171" s="2" t="s">
        <v>69</v>
      </c>
      <c r="F171" s="60" t="s">
        <v>107</v>
      </c>
      <c r="G171" s="60" t="s">
        <v>108</v>
      </c>
      <c r="H171" s="60" t="s">
        <v>109</v>
      </c>
      <c r="I171" s="60" t="s">
        <v>110</v>
      </c>
      <c r="J171" s="60" t="s">
        <v>111</v>
      </c>
      <c r="K171" s="60" t="s">
        <v>13</v>
      </c>
    </row>
    <row r="172" spans="1:13" x14ac:dyDescent="0.2">
      <c r="A172" s="4" t="s">
        <v>1</v>
      </c>
      <c r="D172" s="71" t="s">
        <v>15</v>
      </c>
      <c r="E172" s="98">
        <f>ROUNDUP(C19*$C$7,0)</f>
        <v>3</v>
      </c>
      <c r="F172" s="4" t="s">
        <v>115</v>
      </c>
      <c r="G172" s="62">
        <f>I172/0.75</f>
        <v>173.68421052631581</v>
      </c>
      <c r="H172" s="62">
        <v>0</v>
      </c>
      <c r="I172" s="62">
        <f>10%*C20</f>
        <v>130.26315789473685</v>
      </c>
      <c r="J172" s="62">
        <f>E172*I172*24</f>
        <v>9378.9473684210534</v>
      </c>
      <c r="K172" s="63" t="e">
        <f>1-(J172/H172)</f>
        <v>#DIV/0!</v>
      </c>
      <c r="L172" s="48" t="s">
        <v>196</v>
      </c>
    </row>
    <row r="173" spans="1:13" ht="12.75" thickBot="1" x14ac:dyDescent="0.25">
      <c r="B173" s="64"/>
      <c r="D173" s="136" t="s">
        <v>225</v>
      </c>
      <c r="E173" s="98">
        <v>1</v>
      </c>
      <c r="G173" s="65"/>
      <c r="H173" s="66"/>
      <c r="I173" s="66">
        <v>100000</v>
      </c>
      <c r="J173" s="66">
        <v>100000</v>
      </c>
      <c r="K173" s="67"/>
    </row>
    <row r="174" spans="1:13" ht="12.75" thickTop="1" x14ac:dyDescent="0.2">
      <c r="G174" s="62"/>
      <c r="H174" s="62">
        <f>SUM(H172:H173)</f>
        <v>0</v>
      </c>
      <c r="I174" s="62"/>
      <c r="J174" s="62">
        <f>SUM(J172:J173)</f>
        <v>109378.94736842105</v>
      </c>
      <c r="K174" s="63" t="e">
        <f>1-(J174/H174)</f>
        <v>#DIV/0!</v>
      </c>
    </row>
    <row r="175" spans="1:13" ht="12.75" thickBot="1" x14ac:dyDescent="0.25">
      <c r="D175" s="71" t="s">
        <v>120</v>
      </c>
      <c r="E175" s="76">
        <v>0</v>
      </c>
      <c r="G175" s="62"/>
      <c r="H175" s="66">
        <f>-H174*E175</f>
        <v>0</v>
      </c>
      <c r="I175" s="62"/>
      <c r="J175" s="62"/>
      <c r="K175" s="63"/>
    </row>
    <row r="176" spans="1:13" ht="12.75" thickTop="1" x14ac:dyDescent="0.2">
      <c r="H176" s="68">
        <f>H174+H175</f>
        <v>0</v>
      </c>
      <c r="I176" s="69"/>
      <c r="J176" s="68">
        <f>J174</f>
        <v>109378.94736842105</v>
      </c>
      <c r="K176" s="70" t="e">
        <f>1-(J176/H176)</f>
        <v>#DIV/0!</v>
      </c>
    </row>
    <row r="178" spans="4:17" ht="15.75" thickBot="1" x14ac:dyDescent="0.3">
      <c r="H178" s="1" t="s">
        <v>4</v>
      </c>
      <c r="J178" s="106" t="s">
        <v>19</v>
      </c>
      <c r="K178" s="108" t="s">
        <v>13</v>
      </c>
    </row>
    <row r="179" spans="4:17" ht="15.75" thickBot="1" x14ac:dyDescent="0.3">
      <c r="D179" s="81" t="s">
        <v>142</v>
      </c>
      <c r="E179" s="99"/>
      <c r="F179" s="82"/>
      <c r="G179" s="82"/>
      <c r="H179" s="105" t="e">
        <f>H36+H49+H56+H64+H72+H79+H95+H124+H137+H148+H160+H169+H176+H111</f>
        <v>#REF!</v>
      </c>
      <c r="I179" s="82"/>
      <c r="J179" s="105" t="e">
        <f>J36+J49+J56+J64+J72+J79+J95+J124+J137+J148+J160+J169+J176+J111</f>
        <v>#REF!</v>
      </c>
      <c r="K179" s="107" t="e">
        <f>1-(J179/H179)</f>
        <v>#REF!</v>
      </c>
    </row>
    <row r="180" spans="4:17" ht="15.75" thickBot="1" x14ac:dyDescent="0.3">
      <c r="D180" s="49"/>
      <c r="E180" s="104"/>
      <c r="F180" s="49"/>
      <c r="G180" s="49"/>
      <c r="H180" s="83"/>
      <c r="I180" s="49"/>
      <c r="J180" s="85"/>
      <c r="K180" s="86"/>
    </row>
    <row r="181" spans="4:17" ht="15.75" thickBot="1" x14ac:dyDescent="0.3">
      <c r="D181" s="81" t="s">
        <v>143</v>
      </c>
      <c r="E181" s="100">
        <v>0</v>
      </c>
      <c r="F181" s="82"/>
      <c r="G181" s="82"/>
      <c r="H181" s="87" t="e">
        <f>-E181*H179</f>
        <v>#REF!</v>
      </c>
      <c r="I181" s="82"/>
      <c r="J181" s="83">
        <v>0</v>
      </c>
      <c r="K181" s="84"/>
    </row>
    <row r="182" spans="4:17" ht="15.75" thickBot="1" x14ac:dyDescent="0.3">
      <c r="D182"/>
      <c r="E182" s="101"/>
      <c r="F182"/>
      <c r="G182"/>
      <c r="H182"/>
      <c r="I182"/>
      <c r="J182"/>
      <c r="K182"/>
    </row>
    <row r="183" spans="4:17" ht="15.75" thickBot="1" x14ac:dyDescent="0.3">
      <c r="D183" s="88" t="s">
        <v>153</v>
      </c>
      <c r="E183" s="102"/>
      <c r="F183" s="89"/>
      <c r="G183" s="89"/>
      <c r="H183" s="90" t="e">
        <f>H179+H181</f>
        <v>#REF!</v>
      </c>
      <c r="I183" s="89"/>
      <c r="J183" s="90" t="e">
        <f>J179+J180</f>
        <v>#REF!</v>
      </c>
      <c r="K183" s="91" t="e">
        <f>1-(J183/H183)</f>
        <v>#REF!</v>
      </c>
    </row>
    <row r="184" spans="4:17" ht="15.75" thickBot="1" x14ac:dyDescent="0.3">
      <c r="D184"/>
      <c r="E184" s="101"/>
      <c r="F184"/>
      <c r="G184"/>
      <c r="H184"/>
      <c r="I184"/>
      <c r="J184"/>
      <c r="K184"/>
    </row>
    <row r="185" spans="4:17" ht="15.75" thickBot="1" x14ac:dyDescent="0.3">
      <c r="D185" s="92" t="s">
        <v>170</v>
      </c>
      <c r="E185" s="103"/>
      <c r="F185" s="93"/>
      <c r="G185" s="93"/>
      <c r="H185" s="94" t="e">
        <f>H183/C7/C18</f>
        <v>#REF!</v>
      </c>
      <c r="I185" s="93"/>
      <c r="J185" s="94" t="e">
        <f>J183/C7/C18</f>
        <v>#REF!</v>
      </c>
      <c r="K185" s="95" t="e">
        <f>1-(J185/H185)</f>
        <v>#REF!</v>
      </c>
      <c r="N185" s="118" t="s">
        <v>19</v>
      </c>
      <c r="O185" s="118" t="s">
        <v>4</v>
      </c>
      <c r="P185" s="118" t="s">
        <v>197</v>
      </c>
      <c r="Q185" s="118" t="s">
        <v>4</v>
      </c>
    </row>
    <row r="186" spans="4:17" ht="15" customHeight="1" thickBot="1" x14ac:dyDescent="0.3">
      <c r="D186"/>
      <c r="E186" s="101"/>
      <c r="F186"/>
      <c r="G186"/>
      <c r="H186"/>
      <c r="I186"/>
      <c r="J186"/>
      <c r="K186"/>
      <c r="M186" s="119" t="s">
        <v>195</v>
      </c>
      <c r="N186" s="120" t="e">
        <f>N187+N189+N190+N188</f>
        <v>#REF!</v>
      </c>
      <c r="O186" s="120" t="e">
        <f>O187+O189+O190+O188</f>
        <v>#REF!</v>
      </c>
      <c r="P186" s="121" t="e">
        <f>1-(N186/O186)</f>
        <v>#REF!</v>
      </c>
      <c r="Q186" s="458" t="e">
        <f>O186/O195</f>
        <v>#REF!</v>
      </c>
    </row>
    <row r="187" spans="4:17" ht="12.75" thickTop="1" x14ac:dyDescent="0.2">
      <c r="M187" s="122" t="s">
        <v>198</v>
      </c>
      <c r="N187" s="123" t="e">
        <f>SUMIFS(J26:J176,A26:A176,"CAPEX",L26:L176,"HNS",M26:M176,"VSAT")</f>
        <v>#REF!</v>
      </c>
      <c r="O187" s="123" t="e">
        <f>SUMIFS(H26:H176,A26:A176,"CAPEX",L26:L176,"HNS",M26:M176,"VSAT")-(SUMIFS(H26:H176,A26:A176,"CAPEX",L26:L176,"HNS",M26:M176,"VSAT"))*E181</f>
        <v>#REF!</v>
      </c>
      <c r="P187" s="124" t="e">
        <f>1-(N187/O187)</f>
        <v>#REF!</v>
      </c>
      <c r="Q187" s="458"/>
    </row>
    <row r="188" spans="4:17" x14ac:dyDescent="0.2">
      <c r="M188" s="122" t="s">
        <v>199</v>
      </c>
      <c r="N188" s="123" t="e">
        <f>SUMIFS(J26:J176,A26:A176,"CAPEX",L26:L176,"HNS",M26:M176,"GW-INFRA")</f>
        <v>#REF!</v>
      </c>
      <c r="O188" s="123" t="e">
        <f>SUMIFS(H26:H176,A26:A176,"CAPEX",L26:L176,"HNS",M26:M176,"GW-INFRA")-(SUMIFS(H26:H176,A26:A176,"CAPEX",L26:L176,"HNS",M26:M176,"GW-INFRA"))*E181</f>
        <v>#REF!</v>
      </c>
      <c r="P188" s="124" t="e">
        <f>1-(N188/O188)</f>
        <v>#REF!</v>
      </c>
      <c r="Q188" s="458"/>
    </row>
    <row r="189" spans="4:17" x14ac:dyDescent="0.2">
      <c r="M189" s="122" t="s">
        <v>200</v>
      </c>
      <c r="N189" s="123" t="e">
        <f>SUMIFS(J26:J176,A26:A176,"OPEX",L26:L176,"HNS",M26:M176,"")</f>
        <v>#REF!</v>
      </c>
      <c r="O189" s="123" t="e">
        <f>SUMIFS(H26:H176,A26:A176,"OPEX",L26:L176,"HNS",M26:M176,"")-(SUMIFS(H26:H176,A26:A176,"OPEX",L26:L176,"HNS",M26:M176,""))*E181</f>
        <v>#REF!</v>
      </c>
      <c r="P189" s="124" t="e">
        <f t="shared" ref="P189:P193" si="28">1-(N189/O189)</f>
        <v>#REF!</v>
      </c>
      <c r="Q189" s="458"/>
    </row>
    <row r="190" spans="4:17" x14ac:dyDescent="0.2">
      <c r="M190" s="122" t="s">
        <v>205</v>
      </c>
      <c r="N190" s="123">
        <f>SUMIFS(J26:J176,A26:A176,"OPEX",L26:L176,"HNS",M26:M176,"T19V")</f>
        <v>860600</v>
      </c>
      <c r="O190" s="123">
        <f>SUMIFS(H26:H176,A26:A176,"OPEX",L26:L176,"HNS",M26:M176,"T19V")-(SUMIFS(H26:H176,A26:A176,"OPEX",L26:L176,"HNS",M26:M176,"T19V"))*E181</f>
        <v>1340550</v>
      </c>
      <c r="P190" s="124">
        <f t="shared" si="28"/>
        <v>0.35802469135802473</v>
      </c>
      <c r="Q190" s="458"/>
    </row>
    <row r="191" spans="4:17" ht="12.75" thickBot="1" x14ac:dyDescent="0.25">
      <c r="M191" s="125" t="s">
        <v>196</v>
      </c>
      <c r="N191" s="126" t="e">
        <f>N192+N193+N194</f>
        <v>#REF!</v>
      </c>
      <c r="O191" s="126" t="e">
        <f>O192+O193+O194</f>
        <v>#REF!</v>
      </c>
      <c r="P191" s="127" t="e">
        <f t="shared" si="28"/>
        <v>#REF!</v>
      </c>
      <c r="Q191" s="459" t="e">
        <f>O191/O195</f>
        <v>#REF!</v>
      </c>
    </row>
    <row r="192" spans="4:17" ht="12.75" thickTop="1" x14ac:dyDescent="0.2">
      <c r="M192" s="128" t="s">
        <v>201</v>
      </c>
      <c r="N192" s="129" t="e">
        <f>SUMIFS(J26:J176,A26:A176,"CAPEX",L26:L176,"HDP",M26:M176,"")</f>
        <v>#REF!</v>
      </c>
      <c r="O192" s="129" t="e">
        <f>SUMIFS(H26:H176,A26:A176,"CAPEX",L26:L176,"HDP",M26:M176,"")-(SUMIFS(H26:H176,A26:A176,"CAPEX",L26:L176,"HDP",M26:M176,""))*E181</f>
        <v>#REF!</v>
      </c>
      <c r="P192" s="130" t="e">
        <f t="shared" si="28"/>
        <v>#REF!</v>
      </c>
      <c r="Q192" s="459"/>
    </row>
    <row r="193" spans="4:17" x14ac:dyDescent="0.2">
      <c r="M193" s="128" t="s">
        <v>202</v>
      </c>
      <c r="N193" s="129" t="e">
        <f>SUMIFS(J26:J176,A26:A176,"OPEX",L26:L176,"HDP",M26:M176,"")</f>
        <v>#REF!</v>
      </c>
      <c r="O193" s="129" t="e">
        <f>SUMIFS(H26:H176,A26:A176,"OPEX",L26:L176,"HDP",M26:M176,"")-(SUMIFS(H26:H176,A26:A176,"OPEX",L26:L176,"HDP",M26:M176,""))*E181</f>
        <v>#REF!</v>
      </c>
      <c r="P193" s="130" t="e">
        <f t="shared" si="28"/>
        <v>#REF!</v>
      </c>
      <c r="Q193" s="459"/>
    </row>
    <row r="194" spans="4:17" x14ac:dyDescent="0.2">
      <c r="M194" s="128"/>
      <c r="N194" s="129">
        <f>SUMIFS(J26:J176,A26:A176,"OPEX",L26:L176,"HDP",M26:M176,"SES-17")</f>
        <v>0</v>
      </c>
      <c r="O194" s="129">
        <f>SUMIFS(H47:H175,A47:A175,"OPEX",L47:L175,"HDP",P47:P175,"SES-17")-(SUMIFS(H47:H175,A47:A175,"OPEX",L47:L175,"HDP",P47:P175,"SES-17"))*E181</f>
        <v>0</v>
      </c>
      <c r="P194" s="130"/>
      <c r="Q194" s="459"/>
    </row>
    <row r="195" spans="4:17" ht="18.75" x14ac:dyDescent="0.3">
      <c r="D195" s="460" t="s">
        <v>76</v>
      </c>
      <c r="E195" s="460"/>
      <c r="F195" s="460" t="s">
        <v>74</v>
      </c>
      <c r="G195" s="460" t="s">
        <v>73</v>
      </c>
      <c r="H195" s="460" t="s">
        <v>3</v>
      </c>
      <c r="I195" s="462" t="s">
        <v>77</v>
      </c>
      <c r="J195" s="460" t="s">
        <v>78</v>
      </c>
      <c r="K195" s="462" t="s">
        <v>79</v>
      </c>
      <c r="M195" s="131"/>
      <c r="N195" s="132" t="e">
        <f>N186+N191</f>
        <v>#REF!</v>
      </c>
      <c r="O195" s="132" t="e">
        <f>O186+O191</f>
        <v>#REF!</v>
      </c>
      <c r="P195" s="133" t="e">
        <f>1-(N195/O195)</f>
        <v>#REF!</v>
      </c>
    </row>
    <row r="196" spans="4:17" ht="26.85" customHeight="1" x14ac:dyDescent="0.2">
      <c r="D196" s="461"/>
      <c r="E196" s="461"/>
      <c r="F196" s="461"/>
      <c r="G196" s="461"/>
      <c r="H196" s="461"/>
      <c r="I196" s="463"/>
      <c r="J196" s="461"/>
      <c r="K196" s="463"/>
    </row>
    <row r="197" spans="4:17" ht="21" x14ac:dyDescent="0.25">
      <c r="D197" s="42"/>
      <c r="E197" s="42"/>
      <c r="F197" s="42"/>
      <c r="G197" s="42"/>
      <c r="H197" s="42"/>
      <c r="I197" s="43"/>
      <c r="J197" s="43"/>
      <c r="K197" s="43"/>
    </row>
    <row r="198" spans="4:17" ht="23.25" x14ac:dyDescent="0.35">
      <c r="D198" s="456" t="s">
        <v>80</v>
      </c>
      <c r="E198" s="456"/>
      <c r="F198" s="456"/>
      <c r="G198" s="456"/>
      <c r="H198" s="456"/>
      <c r="I198" s="43"/>
      <c r="J198" s="43"/>
      <c r="K198" s="43"/>
      <c r="N198" s="77" t="e">
        <f>J179-N195</f>
        <v>#REF!</v>
      </c>
    </row>
    <row r="199" spans="4:17" x14ac:dyDescent="0.2">
      <c r="D199" s="455" t="s">
        <v>166</v>
      </c>
      <c r="E199" s="455"/>
      <c r="F199" s="451">
        <f>H36+H49-(H36+H49)*E181</f>
        <v>105399.28571428572</v>
      </c>
      <c r="G199" s="451">
        <f>J36+J49</f>
        <v>73779.5</v>
      </c>
      <c r="H199" s="453">
        <f>1-(G199/F199)</f>
        <v>0.30000000000000004</v>
      </c>
      <c r="I199" s="453" t="e">
        <f>G199/$G$218</f>
        <v>#REF!</v>
      </c>
      <c r="J199" s="442">
        <f>G199/$C$7/$C$18</f>
        <v>11.385725308641975</v>
      </c>
      <c r="K199" s="442">
        <f>F199/$C$7/$C$18</f>
        <v>16.265321869488538</v>
      </c>
    </row>
    <row r="200" spans="4:17" x14ac:dyDescent="0.2">
      <c r="D200" s="455"/>
      <c r="E200" s="455"/>
      <c r="F200" s="452"/>
      <c r="G200" s="452"/>
      <c r="H200" s="454"/>
      <c r="I200" s="454"/>
      <c r="J200" s="443"/>
      <c r="K200" s="443"/>
    </row>
    <row r="201" spans="4:17" x14ac:dyDescent="0.2">
      <c r="D201" s="455" t="s">
        <v>81</v>
      </c>
      <c r="E201" s="455"/>
      <c r="F201" s="451">
        <f>H169-H169*E181</f>
        <v>1340550</v>
      </c>
      <c r="G201" s="451">
        <f>J169</f>
        <v>860600</v>
      </c>
      <c r="H201" s="453">
        <f>1-(G201/F201)</f>
        <v>0.35802469135802473</v>
      </c>
      <c r="I201" s="453" t="e">
        <f>G201/$G$218</f>
        <v>#REF!</v>
      </c>
      <c r="J201" s="442">
        <f>G201/$C$7/$C$18</f>
        <v>132.80864197530863</v>
      </c>
      <c r="K201" s="442">
        <f>F201/$C$7/$C$18</f>
        <v>206.875</v>
      </c>
    </row>
    <row r="202" spans="4:17" x14ac:dyDescent="0.2">
      <c r="D202" s="455"/>
      <c r="E202" s="455"/>
      <c r="F202" s="452"/>
      <c r="G202" s="452"/>
      <c r="H202" s="454"/>
      <c r="I202" s="454"/>
      <c r="J202" s="443"/>
      <c r="K202" s="443"/>
    </row>
    <row r="203" spans="4:17" x14ac:dyDescent="0.2">
      <c r="D203" s="455" t="s">
        <v>162</v>
      </c>
      <c r="E203" s="455"/>
      <c r="F203" s="451" t="e">
        <f>H160+H176-(H160+H176)*E181</f>
        <v>#REF!</v>
      </c>
      <c r="G203" s="451" t="e">
        <f>J160+J176</f>
        <v>#REF!</v>
      </c>
      <c r="H203" s="453" t="e">
        <f>1-(G203/F203)</f>
        <v>#REF!</v>
      </c>
      <c r="I203" s="453" t="e">
        <f>G203/$G$218</f>
        <v>#REF!</v>
      </c>
      <c r="J203" s="442" t="e">
        <f>G203/$C$7/$C$18</f>
        <v>#REF!</v>
      </c>
      <c r="K203" s="442" t="e">
        <f>F203/$C$7/$C$18</f>
        <v>#REF!</v>
      </c>
    </row>
    <row r="204" spans="4:17" x14ac:dyDescent="0.2">
      <c r="D204" s="455"/>
      <c r="E204" s="455"/>
      <c r="F204" s="452"/>
      <c r="G204" s="452"/>
      <c r="H204" s="454"/>
      <c r="I204" s="454"/>
      <c r="J204" s="443"/>
      <c r="K204" s="443"/>
    </row>
    <row r="205" spans="4:17" x14ac:dyDescent="0.2">
      <c r="D205" s="438" t="s">
        <v>163</v>
      </c>
      <c r="E205" s="438"/>
      <c r="F205" s="444" t="e">
        <f>SUM(F199:F204)</f>
        <v>#REF!</v>
      </c>
      <c r="G205" s="444" t="e">
        <f>SUM(G199:G204)</f>
        <v>#REF!</v>
      </c>
      <c r="H205" s="446" t="e">
        <f>1-(G205/F205)</f>
        <v>#REF!</v>
      </c>
      <c r="I205" s="446" t="e">
        <f>G205/$G$218</f>
        <v>#REF!</v>
      </c>
      <c r="J205" s="448" t="e">
        <f>G205/$C$7/$C$18</f>
        <v>#REF!</v>
      </c>
      <c r="K205" s="448" t="e">
        <f>F205/$C$7/$C$18</f>
        <v>#REF!</v>
      </c>
    </row>
    <row r="206" spans="4:17" x14ac:dyDescent="0.2">
      <c r="D206" s="438"/>
      <c r="E206" s="438"/>
      <c r="F206" s="445"/>
      <c r="G206" s="445"/>
      <c r="H206" s="447"/>
      <c r="I206" s="447"/>
      <c r="J206" s="449"/>
      <c r="K206" s="449"/>
    </row>
    <row r="207" spans="4:17" x14ac:dyDescent="0.2">
      <c r="D207" s="4"/>
      <c r="E207" s="4"/>
    </row>
    <row r="208" spans="4:17" x14ac:dyDescent="0.2">
      <c r="D208" s="4"/>
      <c r="E208" s="4"/>
    </row>
    <row r="209" spans="4:11" x14ac:dyDescent="0.2">
      <c r="D209" s="455" t="s">
        <v>84</v>
      </c>
      <c r="E209" s="455"/>
      <c r="F209" s="451" t="e">
        <f>H64+H72+H79+H95+H111+H148-(H64+H72+H79+H95+H111+H148)*E181</f>
        <v>#REF!</v>
      </c>
      <c r="G209" s="451" t="e">
        <f>J64+J72+J79+J95+J111+J148</f>
        <v>#REF!</v>
      </c>
      <c r="H209" s="453" t="e">
        <f>1-(G209/F209)</f>
        <v>#REF!</v>
      </c>
      <c r="I209" s="453" t="e">
        <f>G209/$G$218</f>
        <v>#REF!</v>
      </c>
      <c r="J209" s="442" t="e">
        <f>G209/$C$7/$C$18</f>
        <v>#REF!</v>
      </c>
      <c r="K209" s="442" t="e">
        <f>F209/$C$7/$C$18</f>
        <v>#REF!</v>
      </c>
    </row>
    <row r="210" spans="4:11" x14ac:dyDescent="0.2">
      <c r="D210" s="455"/>
      <c r="E210" s="455"/>
      <c r="F210" s="452"/>
      <c r="G210" s="452"/>
      <c r="H210" s="454"/>
      <c r="I210" s="454"/>
      <c r="J210" s="443"/>
      <c r="K210" s="443"/>
    </row>
    <row r="211" spans="4:11" x14ac:dyDescent="0.2">
      <c r="D211" s="455" t="s">
        <v>86</v>
      </c>
      <c r="E211" s="455"/>
      <c r="F211" s="451" t="e">
        <f>H124+H137-(H124+H137)*E181</f>
        <v>#REF!</v>
      </c>
      <c r="G211" s="451" t="e">
        <f>J124+J137</f>
        <v>#REF!</v>
      </c>
      <c r="H211" s="453" t="e">
        <f>1-(G211/F211)</f>
        <v>#REF!</v>
      </c>
      <c r="I211" s="453" t="e">
        <f>G211/$G$218</f>
        <v>#REF!</v>
      </c>
      <c r="J211" s="442" t="e">
        <f>G211/$C$7/$C$18</f>
        <v>#REF!</v>
      </c>
      <c r="K211" s="442" t="e">
        <f>F211/$C$7/$C$18</f>
        <v>#REF!</v>
      </c>
    </row>
    <row r="212" spans="4:11" x14ac:dyDescent="0.2">
      <c r="D212" s="455"/>
      <c r="E212" s="455"/>
      <c r="F212" s="452"/>
      <c r="G212" s="452"/>
      <c r="H212" s="454"/>
      <c r="I212" s="454"/>
      <c r="J212" s="443"/>
      <c r="K212" s="443"/>
    </row>
    <row r="213" spans="4:11" x14ac:dyDescent="0.2">
      <c r="D213" s="450" t="s">
        <v>164</v>
      </c>
      <c r="E213" s="450"/>
      <c r="F213" s="451" t="e">
        <f>H56-H56*E181</f>
        <v>#REF!</v>
      </c>
      <c r="G213" s="451" t="e">
        <f>J56</f>
        <v>#REF!</v>
      </c>
      <c r="H213" s="453" t="e">
        <f>1-(G213/F213)</f>
        <v>#REF!</v>
      </c>
      <c r="I213" s="453" t="e">
        <f>G213/$G$218</f>
        <v>#REF!</v>
      </c>
      <c r="J213" s="442" t="e">
        <f>G213/$C$7/$C$18</f>
        <v>#REF!</v>
      </c>
      <c r="K213" s="442" t="e">
        <f>F213/$C$7/$C$18</f>
        <v>#REF!</v>
      </c>
    </row>
    <row r="214" spans="4:11" x14ac:dyDescent="0.2">
      <c r="D214" s="450"/>
      <c r="E214" s="450"/>
      <c r="F214" s="452"/>
      <c r="G214" s="452"/>
      <c r="H214" s="454"/>
      <c r="I214" s="454"/>
      <c r="J214" s="443"/>
      <c r="K214" s="443"/>
    </row>
    <row r="215" spans="4:11" x14ac:dyDescent="0.2">
      <c r="D215" s="438" t="s">
        <v>163</v>
      </c>
      <c r="E215" s="438"/>
      <c r="F215" s="444" t="e">
        <f>SUM(F209:F214)</f>
        <v>#REF!</v>
      </c>
      <c r="G215" s="444" t="e">
        <f>SUM(G209:G214)</f>
        <v>#REF!</v>
      </c>
      <c r="H215" s="446" t="e">
        <f>1-(G215/F215)</f>
        <v>#REF!</v>
      </c>
      <c r="I215" s="446" t="e">
        <f>G215/$G$218</f>
        <v>#REF!</v>
      </c>
      <c r="J215" s="448" t="e">
        <f>G215/$C$7/$C$18</f>
        <v>#REF!</v>
      </c>
      <c r="K215" s="448" t="e">
        <f>F215/$C$7/$C$18</f>
        <v>#REF!</v>
      </c>
    </row>
    <row r="216" spans="4:11" x14ac:dyDescent="0.2">
      <c r="D216" s="438"/>
      <c r="E216" s="438"/>
      <c r="F216" s="445"/>
      <c r="G216" s="445"/>
      <c r="H216" s="447"/>
      <c r="I216" s="447"/>
      <c r="J216" s="449"/>
      <c r="K216" s="449"/>
    </row>
    <row r="217" spans="4:11" ht="15" x14ac:dyDescent="0.25">
      <c r="D217"/>
      <c r="E217"/>
      <c r="F217"/>
      <c r="G217"/>
      <c r="H217"/>
      <c r="I217"/>
      <c r="J217"/>
      <c r="K217"/>
    </row>
    <row r="218" spans="4:11" ht="21" x14ac:dyDescent="0.35">
      <c r="D218" s="441" t="s">
        <v>167</v>
      </c>
      <c r="E218" s="441"/>
      <c r="F218" s="44" t="e">
        <f>F205+F215</f>
        <v>#REF!</v>
      </c>
      <c r="G218" s="44" t="e">
        <f>G205+G215</f>
        <v>#REF!</v>
      </c>
      <c r="H218" s="45" t="e">
        <f>1-(G218/F218)</f>
        <v>#REF!</v>
      </c>
      <c r="I218" s="45" t="e">
        <f>I205+I215</f>
        <v>#REF!</v>
      </c>
      <c r="J218" s="46" t="e">
        <f>J205+J215</f>
        <v>#REF!</v>
      </c>
      <c r="K218" s="46" t="e">
        <f>K205+K215</f>
        <v>#REF!</v>
      </c>
    </row>
    <row r="219" spans="4:11" ht="15" x14ac:dyDescent="0.25">
      <c r="D219" s="438" t="s">
        <v>82</v>
      </c>
      <c r="E219" s="438"/>
      <c r="F219" s="439">
        <f>E164+E165</f>
        <v>675</v>
      </c>
      <c r="G219" s="439" t="s">
        <v>71</v>
      </c>
      <c r="H219"/>
      <c r="I219"/>
      <c r="J219"/>
      <c r="K219"/>
    </row>
    <row r="220" spans="4:11" ht="15" x14ac:dyDescent="0.25">
      <c r="D220" s="438"/>
      <c r="E220" s="438"/>
      <c r="F220" s="440"/>
      <c r="G220" s="440"/>
      <c r="H220"/>
      <c r="I220"/>
      <c r="J220"/>
      <c r="K220"/>
    </row>
    <row r="221" spans="4:11" ht="15" x14ac:dyDescent="0.25">
      <c r="D221" s="438" t="s">
        <v>83</v>
      </c>
      <c r="E221" s="438"/>
      <c r="F221" s="439">
        <f>C7</f>
        <v>270</v>
      </c>
      <c r="G221" s="439" t="s">
        <v>2</v>
      </c>
      <c r="H221"/>
      <c r="I221"/>
      <c r="J221"/>
      <c r="K221" s="47"/>
    </row>
    <row r="222" spans="4:11" ht="15" x14ac:dyDescent="0.25">
      <c r="D222" s="438"/>
      <c r="E222" s="438"/>
      <c r="F222" s="440"/>
      <c r="G222" s="440"/>
      <c r="H222"/>
      <c r="I222"/>
      <c r="J222"/>
      <c r="K222"/>
    </row>
    <row r="223" spans="4:11" ht="15" x14ac:dyDescent="0.25">
      <c r="D223" s="438" t="s">
        <v>85</v>
      </c>
      <c r="E223" s="438"/>
      <c r="F223" s="439">
        <f>C18</f>
        <v>24</v>
      </c>
      <c r="G223" s="439" t="s">
        <v>165</v>
      </c>
      <c r="H223"/>
      <c r="I223"/>
      <c r="J223"/>
      <c r="K223"/>
    </row>
    <row r="224" spans="4:11" x14ac:dyDescent="0.2">
      <c r="D224" s="438"/>
      <c r="E224" s="438"/>
      <c r="F224" s="440"/>
      <c r="G224" s="440"/>
      <c r="H224" s="5"/>
      <c r="I224" s="5"/>
      <c r="J224" s="5"/>
      <c r="K224" s="5"/>
    </row>
  </sheetData>
  <mergeCells count="83">
    <mergeCell ref="A113:L113"/>
    <mergeCell ref="A1:K1"/>
    <mergeCell ref="A4:A20"/>
    <mergeCell ref="B4:C4"/>
    <mergeCell ref="A22:L22"/>
    <mergeCell ref="A24:L24"/>
    <mergeCell ref="A149:L149"/>
    <mergeCell ref="Q186:Q190"/>
    <mergeCell ref="Q191:Q194"/>
    <mergeCell ref="D195:E196"/>
    <mergeCell ref="F195:F196"/>
    <mergeCell ref="G195:G196"/>
    <mergeCell ref="H195:H196"/>
    <mergeCell ref="I195:I196"/>
    <mergeCell ref="J195:J196"/>
    <mergeCell ref="K195:K196"/>
    <mergeCell ref="D198:H198"/>
    <mergeCell ref="D199:E200"/>
    <mergeCell ref="F199:F200"/>
    <mergeCell ref="G199:G200"/>
    <mergeCell ref="H199:H200"/>
    <mergeCell ref="J199:J200"/>
    <mergeCell ref="K199:K200"/>
    <mergeCell ref="D201:E202"/>
    <mergeCell ref="F201:F202"/>
    <mergeCell ref="G201:G202"/>
    <mergeCell ref="H201:H202"/>
    <mergeCell ref="I201:I202"/>
    <mergeCell ref="J201:J202"/>
    <mergeCell ref="K201:K202"/>
    <mergeCell ref="I199:I200"/>
    <mergeCell ref="K203:K204"/>
    <mergeCell ref="D205:E206"/>
    <mergeCell ref="F205:F206"/>
    <mergeCell ref="G205:G206"/>
    <mergeCell ref="H205:H206"/>
    <mergeCell ref="I205:I206"/>
    <mergeCell ref="J205:J206"/>
    <mergeCell ref="K205:K206"/>
    <mergeCell ref="D203:E204"/>
    <mergeCell ref="F203:F204"/>
    <mergeCell ref="G203:G204"/>
    <mergeCell ref="H203:H204"/>
    <mergeCell ref="I203:I204"/>
    <mergeCell ref="J203:J204"/>
    <mergeCell ref="K209:K210"/>
    <mergeCell ref="D211:E212"/>
    <mergeCell ref="F211:F212"/>
    <mergeCell ref="G211:G212"/>
    <mergeCell ref="H211:H212"/>
    <mergeCell ref="I211:I212"/>
    <mergeCell ref="J211:J212"/>
    <mergeCell ref="K211:K212"/>
    <mergeCell ref="D209:E210"/>
    <mergeCell ref="F209:F210"/>
    <mergeCell ref="G209:G210"/>
    <mergeCell ref="H209:H210"/>
    <mergeCell ref="I209:I210"/>
    <mergeCell ref="J209:J210"/>
    <mergeCell ref="K213:K214"/>
    <mergeCell ref="D215:E216"/>
    <mergeCell ref="F215:F216"/>
    <mergeCell ref="G215:G216"/>
    <mergeCell ref="H215:H216"/>
    <mergeCell ref="I215:I216"/>
    <mergeCell ref="J215:J216"/>
    <mergeCell ref="K215:K216"/>
    <mergeCell ref="D213:E214"/>
    <mergeCell ref="F213:F214"/>
    <mergeCell ref="G213:G214"/>
    <mergeCell ref="H213:H214"/>
    <mergeCell ref="I213:I214"/>
    <mergeCell ref="J213:J214"/>
    <mergeCell ref="D223:E224"/>
    <mergeCell ref="F223:F224"/>
    <mergeCell ref="G223:G224"/>
    <mergeCell ref="D218:E218"/>
    <mergeCell ref="D219:E220"/>
    <mergeCell ref="F219:F220"/>
    <mergeCell ref="G219:G220"/>
    <mergeCell ref="D221:E222"/>
    <mergeCell ref="F221:F222"/>
    <mergeCell ref="G221:G222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58F68-F6D2-4DFA-933C-E7B5A3EFB276}">
  <sheetPr>
    <tabColor rgb="FF92D050"/>
  </sheetPr>
  <dimension ref="A1:Q224"/>
  <sheetViews>
    <sheetView topLeftCell="C1" zoomScaleNormal="100" workbookViewId="0">
      <selection activeCell="D173" sqref="D173:E173"/>
    </sheetView>
  </sheetViews>
  <sheetFormatPr baseColWidth="10" defaultColWidth="11.5703125" defaultRowHeight="12" x14ac:dyDescent="0.2"/>
  <cols>
    <col min="1" max="1" width="5.28515625" style="4" customWidth="1"/>
    <col min="2" max="2" width="37.5703125" style="4" customWidth="1"/>
    <col min="3" max="3" width="21.5703125" style="4" customWidth="1"/>
    <col min="4" max="4" width="52.7109375" style="71" customWidth="1"/>
    <col min="5" max="5" width="7" style="3" customWidth="1"/>
    <col min="6" max="6" width="18.7109375" style="4" customWidth="1"/>
    <col min="7" max="7" width="21.140625" style="4" customWidth="1"/>
    <col min="8" max="9" width="16.28515625" style="4" customWidth="1"/>
    <col min="10" max="10" width="21.5703125" style="4" customWidth="1"/>
    <col min="11" max="11" width="24.7109375" style="4" customWidth="1"/>
    <col min="12" max="12" width="11.5703125" style="48"/>
    <col min="13" max="13" width="17.85546875" style="4" customWidth="1"/>
    <col min="14" max="15" width="15.85546875" style="4" customWidth="1"/>
    <col min="16" max="16" width="11.5703125" style="4" customWidth="1"/>
    <col min="17" max="16384" width="11.5703125" style="4"/>
  </cols>
  <sheetData>
    <row r="1" spans="1:11" ht="23.25" x14ac:dyDescent="0.2">
      <c r="A1" s="465" t="s">
        <v>210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</row>
    <row r="4" spans="1:11" ht="15" x14ac:dyDescent="0.25">
      <c r="A4" s="466" t="s">
        <v>7</v>
      </c>
      <c r="B4" s="468" t="s">
        <v>90</v>
      </c>
      <c r="C4" s="468"/>
      <c r="F4"/>
      <c r="G4" s="109" t="s">
        <v>74</v>
      </c>
      <c r="H4" s="109" t="s">
        <v>73</v>
      </c>
      <c r="I4" s="109" t="s">
        <v>145</v>
      </c>
    </row>
    <row r="5" spans="1:11" ht="15" x14ac:dyDescent="0.25">
      <c r="A5" s="466"/>
      <c r="B5" s="50" t="s">
        <v>91</v>
      </c>
      <c r="C5" s="51">
        <v>21</v>
      </c>
      <c r="F5" s="114" t="s">
        <v>0</v>
      </c>
      <c r="G5" s="110" t="e">
        <f>SUMIF(A26:A175,"CAPEX",H26:H175)</f>
        <v>#REF!</v>
      </c>
      <c r="H5" s="110" t="e">
        <f>SUMIF(A26:A175,"CAPEX",J26:J175)</f>
        <v>#REF!</v>
      </c>
      <c r="I5" s="111" t="e">
        <f>1-(H5/G5)</f>
        <v>#REF!</v>
      </c>
    </row>
    <row r="6" spans="1:11" ht="15" x14ac:dyDescent="0.25">
      <c r="A6" s="466"/>
      <c r="B6" s="50" t="s">
        <v>92</v>
      </c>
      <c r="C6" s="52">
        <v>341</v>
      </c>
      <c r="F6" s="114" t="s">
        <v>1</v>
      </c>
      <c r="G6" s="110" t="e">
        <f>SUMIF(A26:A175,"OPEX",H26:H175)</f>
        <v>#REF!</v>
      </c>
      <c r="H6" s="110" t="e">
        <f>SUMIF(A26:A175,"OPEX",J26:J175)</f>
        <v>#REF!</v>
      </c>
      <c r="I6" s="111" t="e">
        <f>1-(H6/G6)</f>
        <v>#REF!</v>
      </c>
    </row>
    <row r="7" spans="1:11" ht="15" x14ac:dyDescent="0.25">
      <c r="A7" s="466"/>
      <c r="B7" s="50" t="s">
        <v>93</v>
      </c>
      <c r="C7" s="53">
        <f>C5+C6</f>
        <v>362</v>
      </c>
      <c r="F7"/>
      <c r="G7" s="112" t="e">
        <f>SUM(G5:G6)</f>
        <v>#REF!</v>
      </c>
      <c r="H7" s="112" t="e">
        <f>SUM(H5:H6)</f>
        <v>#REF!</v>
      </c>
      <c r="I7" s="113" t="e">
        <f>1-(H7/G7)</f>
        <v>#REF!</v>
      </c>
      <c r="K7" s="77"/>
    </row>
    <row r="8" spans="1:11" x14ac:dyDescent="0.2">
      <c r="A8" s="466"/>
      <c r="B8" s="50" t="s">
        <v>98</v>
      </c>
      <c r="C8" s="57">
        <v>0.05</v>
      </c>
      <c r="K8" s="77"/>
    </row>
    <row r="9" spans="1:11" x14ac:dyDescent="0.2">
      <c r="A9" s="466"/>
      <c r="B9" s="50" t="s">
        <v>99</v>
      </c>
      <c r="C9" s="54"/>
    </row>
    <row r="10" spans="1:11" x14ac:dyDescent="0.2">
      <c r="A10" s="466"/>
      <c r="B10" s="50" t="s">
        <v>94</v>
      </c>
      <c r="C10" s="51">
        <v>52.5</v>
      </c>
    </row>
    <row r="11" spans="1:11" x14ac:dyDescent="0.2">
      <c r="A11" s="466"/>
      <c r="B11" s="50" t="s">
        <v>100</v>
      </c>
      <c r="C11" s="51">
        <v>852.5</v>
      </c>
    </row>
    <row r="12" spans="1:11" ht="15" x14ac:dyDescent="0.2">
      <c r="A12" s="466"/>
      <c r="B12" s="50" t="s">
        <v>101</v>
      </c>
      <c r="C12" s="51">
        <f>C10+C11</f>
        <v>905</v>
      </c>
      <c r="G12" s="109" t="s">
        <v>158</v>
      </c>
      <c r="H12" s="109" t="s">
        <v>159</v>
      </c>
      <c r="I12" s="109" t="s">
        <v>145</v>
      </c>
    </row>
    <row r="13" spans="1:11" ht="15" x14ac:dyDescent="0.2">
      <c r="A13" s="466"/>
      <c r="B13" s="50" t="s">
        <v>95</v>
      </c>
      <c r="C13" s="56">
        <f>C12/C7</f>
        <v>2.5</v>
      </c>
      <c r="G13" s="110" t="e">
        <f>G7/C7/C18</f>
        <v>#REF!</v>
      </c>
      <c r="H13" s="110" t="e">
        <f>H7/C7/C18</f>
        <v>#REF!</v>
      </c>
      <c r="I13" s="111" t="e">
        <f>1-(H13/G13)</f>
        <v>#REF!</v>
      </c>
    </row>
    <row r="14" spans="1:11" x14ac:dyDescent="0.2">
      <c r="A14" s="466"/>
      <c r="B14" s="50" t="s">
        <v>103</v>
      </c>
      <c r="C14" s="55">
        <v>3.8</v>
      </c>
    </row>
    <row r="15" spans="1:11" x14ac:dyDescent="0.2">
      <c r="A15" s="466"/>
      <c r="B15" s="50" t="s">
        <v>96</v>
      </c>
      <c r="C15" s="56">
        <f>G27+G28+G29+G33</f>
        <v>745.41428571428582</v>
      </c>
    </row>
    <row r="16" spans="1:11" x14ac:dyDescent="0.2">
      <c r="A16" s="466"/>
      <c r="B16" s="50" t="s">
        <v>102</v>
      </c>
      <c r="C16" s="51">
        <v>155</v>
      </c>
    </row>
    <row r="17" spans="1:13" x14ac:dyDescent="0.2">
      <c r="A17" s="466"/>
      <c r="B17" s="50" t="s">
        <v>97</v>
      </c>
      <c r="C17" s="51">
        <v>55</v>
      </c>
    </row>
    <row r="18" spans="1:13" x14ac:dyDescent="0.2">
      <c r="A18" s="466"/>
      <c r="B18" s="50" t="s">
        <v>104</v>
      </c>
      <c r="C18" s="51">
        <v>24</v>
      </c>
    </row>
    <row r="19" spans="1:13" x14ac:dyDescent="0.2">
      <c r="A19" s="466"/>
      <c r="B19" s="50" t="s">
        <v>16</v>
      </c>
      <c r="C19" s="57">
        <v>0.01</v>
      </c>
    </row>
    <row r="20" spans="1:13" x14ac:dyDescent="0.2">
      <c r="A20" s="467"/>
      <c r="B20" s="50" t="s">
        <v>14</v>
      </c>
      <c r="C20" s="51">
        <f>4950/C14</f>
        <v>1302.6315789473686</v>
      </c>
    </row>
    <row r="22" spans="1:13" x14ac:dyDescent="0.2">
      <c r="A22" s="469" t="s">
        <v>211</v>
      </c>
      <c r="B22" s="469"/>
      <c r="C22" s="469"/>
      <c r="D22" s="469"/>
      <c r="E22" s="469"/>
      <c r="F22" s="469"/>
      <c r="G22" s="469"/>
      <c r="H22" s="469"/>
      <c r="I22" s="469"/>
      <c r="J22" s="469"/>
      <c r="K22" s="469"/>
      <c r="L22" s="469"/>
    </row>
    <row r="24" spans="1:13" x14ac:dyDescent="0.2">
      <c r="A24" s="464" t="s">
        <v>127</v>
      </c>
      <c r="B24" s="464"/>
      <c r="C24" s="464"/>
      <c r="D24" s="464"/>
      <c r="E24" s="464"/>
      <c r="F24" s="464"/>
      <c r="G24" s="464"/>
      <c r="H24" s="464"/>
      <c r="I24" s="464"/>
      <c r="J24" s="464"/>
      <c r="K24" s="464"/>
      <c r="L24" s="464"/>
    </row>
    <row r="25" spans="1:13" x14ac:dyDescent="0.2">
      <c r="A25" s="58"/>
      <c r="B25" s="58" t="s">
        <v>125</v>
      </c>
      <c r="C25" s="59"/>
      <c r="D25" s="75"/>
      <c r="E25" s="96"/>
      <c r="F25" s="59"/>
      <c r="G25" s="59"/>
      <c r="H25" s="59"/>
      <c r="I25" s="59"/>
      <c r="J25" s="59"/>
      <c r="K25" s="59"/>
      <c r="L25" s="96"/>
    </row>
    <row r="26" spans="1:13" x14ac:dyDescent="0.2">
      <c r="B26" s="60" t="s">
        <v>105</v>
      </c>
      <c r="C26" s="60" t="s">
        <v>106</v>
      </c>
      <c r="D26" s="73" t="s">
        <v>68</v>
      </c>
      <c r="E26" s="2" t="s">
        <v>69</v>
      </c>
      <c r="F26" s="60" t="s">
        <v>107</v>
      </c>
      <c r="G26" s="60" t="s">
        <v>108</v>
      </c>
      <c r="H26" s="60" t="s">
        <v>109</v>
      </c>
      <c r="I26" s="60" t="s">
        <v>110</v>
      </c>
      <c r="J26" s="60" t="s">
        <v>111</v>
      </c>
      <c r="K26" s="60" t="s">
        <v>13</v>
      </c>
      <c r="L26" s="117" t="s">
        <v>194</v>
      </c>
    </row>
    <row r="27" spans="1:13" x14ac:dyDescent="0.2">
      <c r="A27" s="4" t="s">
        <v>0</v>
      </c>
      <c r="B27" s="4" t="s">
        <v>112</v>
      </c>
      <c r="C27" s="4" t="s">
        <v>113</v>
      </c>
      <c r="D27" s="71" t="s">
        <v>114</v>
      </c>
      <c r="E27" s="98">
        <f>$C$7</f>
        <v>362</v>
      </c>
      <c r="F27" s="4" t="s">
        <v>115</v>
      </c>
      <c r="G27" s="61">
        <f>I27/0.7</f>
        <v>109.71428571428572</v>
      </c>
      <c r="H27" s="62">
        <f>E27*G27</f>
        <v>39716.571428571435</v>
      </c>
      <c r="I27" s="4">
        <v>76.8</v>
      </c>
      <c r="J27" s="62">
        <f>E27*I27</f>
        <v>27801.599999999999</v>
      </c>
      <c r="K27" s="63">
        <f>1-(J27/H27)</f>
        <v>0.30000000000000016</v>
      </c>
      <c r="L27" s="48" t="s">
        <v>195</v>
      </c>
      <c r="M27" s="4" t="s">
        <v>203</v>
      </c>
    </row>
    <row r="28" spans="1:13" x14ac:dyDescent="0.2">
      <c r="A28" s="4" t="s">
        <v>0</v>
      </c>
      <c r="B28" s="4" t="s">
        <v>117</v>
      </c>
      <c r="C28" s="4" t="s">
        <v>118</v>
      </c>
      <c r="D28" s="71" t="s">
        <v>119</v>
      </c>
      <c r="E28" s="98">
        <v>0</v>
      </c>
      <c r="F28" s="4" t="s">
        <v>115</v>
      </c>
      <c r="G28" s="61">
        <f>I28/0.7</f>
        <v>426.52857142857147</v>
      </c>
      <c r="H28" s="62">
        <f>E28*G28</f>
        <v>0</v>
      </c>
      <c r="I28" s="4">
        <v>298.57</v>
      </c>
      <c r="J28" s="62">
        <f>E28*I28</f>
        <v>0</v>
      </c>
      <c r="K28" s="63" t="e">
        <f>1-(J28/H28)</f>
        <v>#DIV/0!</v>
      </c>
      <c r="L28" s="48" t="s">
        <v>195</v>
      </c>
      <c r="M28" s="4" t="s">
        <v>203</v>
      </c>
    </row>
    <row r="29" spans="1:13" x14ac:dyDescent="0.2">
      <c r="A29" s="4" t="s">
        <v>0</v>
      </c>
      <c r="B29" s="4" t="s">
        <v>122</v>
      </c>
      <c r="C29" s="4" t="s">
        <v>123</v>
      </c>
      <c r="D29" s="71" t="s">
        <v>116</v>
      </c>
      <c r="E29" s="98">
        <f t="shared" ref="E29" si="0">$C$7</f>
        <v>362</v>
      </c>
      <c r="F29" s="4" t="s">
        <v>115</v>
      </c>
      <c r="G29" s="61">
        <f>I29/0.7</f>
        <v>138.45714285714286</v>
      </c>
      <c r="H29" s="62">
        <f>E29*G29</f>
        <v>50121.485714285714</v>
      </c>
      <c r="I29" s="4">
        <v>96.92</v>
      </c>
      <c r="J29" s="62">
        <f>E29*I29</f>
        <v>35085.040000000001</v>
      </c>
      <c r="K29" s="63">
        <f>1-(J29/H29)</f>
        <v>0.29999999999999993</v>
      </c>
      <c r="L29" s="48" t="s">
        <v>195</v>
      </c>
      <c r="M29" s="4" t="s">
        <v>203</v>
      </c>
    </row>
    <row r="30" spans="1:13" x14ac:dyDescent="0.2">
      <c r="A30" s="4" t="s">
        <v>0</v>
      </c>
      <c r="B30" s="4" t="s">
        <v>186</v>
      </c>
      <c r="C30" s="4" t="s">
        <v>187</v>
      </c>
      <c r="D30" s="71" t="s">
        <v>188</v>
      </c>
      <c r="E30" s="98">
        <v>90</v>
      </c>
      <c r="F30" s="4" t="s">
        <v>115</v>
      </c>
      <c r="G30" s="61">
        <f t="shared" ref="G30:G32" si="1">I30/0.7</f>
        <v>410.3</v>
      </c>
      <c r="H30" s="62">
        <f t="shared" ref="H30:H32" si="2">E30*G30</f>
        <v>36927</v>
      </c>
      <c r="I30" s="4">
        <v>287.20999999999998</v>
      </c>
      <c r="J30" s="62">
        <f t="shared" ref="J30:J32" si="3">E30*I30</f>
        <v>25848.899999999998</v>
      </c>
      <c r="K30" s="63">
        <f t="shared" ref="K30:K32" si="4">1-(J30/H30)</f>
        <v>0.30000000000000004</v>
      </c>
      <c r="L30" s="48" t="s">
        <v>195</v>
      </c>
      <c r="M30" s="4" t="s">
        <v>203</v>
      </c>
    </row>
    <row r="31" spans="1:13" x14ac:dyDescent="0.2">
      <c r="A31" s="4" t="s">
        <v>0</v>
      </c>
      <c r="B31" s="4" t="s">
        <v>189</v>
      </c>
      <c r="C31" s="4" t="s">
        <v>190</v>
      </c>
      <c r="D31" s="71" t="s">
        <v>191</v>
      </c>
      <c r="E31" s="98">
        <v>2</v>
      </c>
      <c r="F31" s="4" t="s">
        <v>115</v>
      </c>
      <c r="G31" s="61">
        <f t="shared" si="1"/>
        <v>129.4</v>
      </c>
      <c r="H31" s="62">
        <f t="shared" si="2"/>
        <v>258.8</v>
      </c>
      <c r="I31" s="4">
        <v>90.58</v>
      </c>
      <c r="J31" s="62">
        <f t="shared" si="3"/>
        <v>181.16</v>
      </c>
      <c r="K31" s="63">
        <f t="shared" si="4"/>
        <v>0.30000000000000004</v>
      </c>
      <c r="L31" s="48" t="s">
        <v>195</v>
      </c>
      <c r="M31" s="4" t="s">
        <v>203</v>
      </c>
    </row>
    <row r="32" spans="1:13" x14ac:dyDescent="0.2">
      <c r="A32" s="4" t="s">
        <v>0</v>
      </c>
      <c r="C32" s="4" t="s">
        <v>124</v>
      </c>
      <c r="D32" s="71" t="s">
        <v>192</v>
      </c>
      <c r="E32" s="98">
        <v>362</v>
      </c>
      <c r="F32" s="4" t="s">
        <v>115</v>
      </c>
      <c r="G32" s="61">
        <f t="shared" si="1"/>
        <v>20</v>
      </c>
      <c r="H32" s="62">
        <f t="shared" si="2"/>
        <v>7240</v>
      </c>
      <c r="I32" s="4">
        <v>14</v>
      </c>
      <c r="J32" s="62">
        <f t="shared" si="3"/>
        <v>5068</v>
      </c>
      <c r="K32" s="63">
        <f t="shared" si="4"/>
        <v>0.30000000000000004</v>
      </c>
      <c r="L32" s="48" t="s">
        <v>195</v>
      </c>
      <c r="M32" s="4" t="s">
        <v>203</v>
      </c>
    </row>
    <row r="33" spans="1:13" ht="12.75" thickBot="1" x14ac:dyDescent="0.25">
      <c r="A33" s="4" t="s">
        <v>0</v>
      </c>
      <c r="B33" s="64">
        <v>611604104</v>
      </c>
      <c r="C33" s="4" t="s">
        <v>124</v>
      </c>
      <c r="D33" s="71" t="s">
        <v>121</v>
      </c>
      <c r="E33" s="98">
        <v>0</v>
      </c>
      <c r="F33" s="4" t="s">
        <v>115</v>
      </c>
      <c r="G33" s="65">
        <f>I33/0.7</f>
        <v>70.714285714285722</v>
      </c>
      <c r="H33" s="66">
        <f>E33*G33</f>
        <v>0</v>
      </c>
      <c r="I33" s="66">
        <v>49.5</v>
      </c>
      <c r="J33" s="66">
        <f>E33*I33</f>
        <v>0</v>
      </c>
      <c r="K33" s="67" t="e">
        <f>1-(J33/H33)</f>
        <v>#DIV/0!</v>
      </c>
      <c r="L33" s="48" t="s">
        <v>195</v>
      </c>
      <c r="M33" s="4" t="s">
        <v>203</v>
      </c>
    </row>
    <row r="34" spans="1:13" ht="12.75" thickTop="1" x14ac:dyDescent="0.2">
      <c r="G34" s="62"/>
      <c r="H34" s="62">
        <f>SUM(H27:H33)</f>
        <v>134263.85714285716</v>
      </c>
      <c r="I34" s="62"/>
      <c r="J34" s="62">
        <f>SUM(J27:J33)</f>
        <v>93984.7</v>
      </c>
      <c r="K34" s="63">
        <f>1-(J34/H34)</f>
        <v>0.30000000000000016</v>
      </c>
    </row>
    <row r="35" spans="1:13" ht="12.75" thickBot="1" x14ac:dyDescent="0.25">
      <c r="D35" s="71" t="s">
        <v>120</v>
      </c>
      <c r="E35" s="76">
        <v>0</v>
      </c>
      <c r="G35" s="62"/>
      <c r="H35" s="66">
        <f>-H34*E35</f>
        <v>0</v>
      </c>
      <c r="I35" s="62"/>
      <c r="J35" s="62"/>
      <c r="K35" s="63"/>
    </row>
    <row r="36" spans="1:13" ht="12.75" thickTop="1" x14ac:dyDescent="0.2">
      <c r="H36" s="68">
        <f>H34+H35</f>
        <v>134263.85714285716</v>
      </c>
      <c r="I36" s="69"/>
      <c r="J36" s="68">
        <f>J34</f>
        <v>93984.7</v>
      </c>
      <c r="K36" s="70">
        <f>1-(J36/H36)</f>
        <v>0.30000000000000016</v>
      </c>
    </row>
    <row r="37" spans="1:13" x14ac:dyDescent="0.2">
      <c r="H37" s="68"/>
      <c r="I37" s="69"/>
      <c r="J37" s="68"/>
      <c r="K37" s="70"/>
    </row>
    <row r="38" spans="1:13" x14ac:dyDescent="0.2">
      <c r="A38" s="58"/>
      <c r="B38" s="58" t="s">
        <v>126</v>
      </c>
      <c r="C38" s="59"/>
      <c r="D38" s="75"/>
      <c r="E38" s="96"/>
      <c r="F38" s="59"/>
      <c r="G38" s="59"/>
      <c r="H38" s="59"/>
      <c r="I38" s="59"/>
      <c r="J38" s="59"/>
      <c r="K38" s="59"/>
      <c r="L38" s="96"/>
    </row>
    <row r="39" spans="1:13" x14ac:dyDescent="0.2">
      <c r="B39" s="60" t="s">
        <v>105</v>
      </c>
      <c r="C39" s="60" t="s">
        <v>106</v>
      </c>
      <c r="D39" s="73" t="s">
        <v>68</v>
      </c>
      <c r="E39" s="2" t="s">
        <v>69</v>
      </c>
      <c r="F39" s="60" t="s">
        <v>107</v>
      </c>
      <c r="G39" s="60" t="s">
        <v>108</v>
      </c>
      <c r="H39" s="60" t="s">
        <v>109</v>
      </c>
      <c r="I39" s="60" t="s">
        <v>110</v>
      </c>
      <c r="J39" s="60" t="s">
        <v>111</v>
      </c>
      <c r="K39" s="60" t="s">
        <v>13</v>
      </c>
      <c r="L39" s="117" t="s">
        <v>194</v>
      </c>
    </row>
    <row r="40" spans="1:13" x14ac:dyDescent="0.2">
      <c r="A40" s="4" t="s">
        <v>0</v>
      </c>
      <c r="B40" s="4" t="s">
        <v>112</v>
      </c>
      <c r="C40" s="4" t="s">
        <v>113</v>
      </c>
      <c r="D40" s="71" t="s">
        <v>114</v>
      </c>
      <c r="E40" s="98">
        <f>ROUNDUP($C$8*$C$7,0)</f>
        <v>19</v>
      </c>
      <c r="F40" s="4" t="s">
        <v>115</v>
      </c>
      <c r="G40" s="61">
        <f>I40/0.7</f>
        <v>109.71428571428572</v>
      </c>
      <c r="H40" s="62">
        <f>E40*G40</f>
        <v>2084.5714285714289</v>
      </c>
      <c r="I40" s="4">
        <v>76.8</v>
      </c>
      <c r="J40" s="62">
        <f>E40*I40</f>
        <v>1459.2</v>
      </c>
      <c r="K40" s="63">
        <f>1-(J40/H40)</f>
        <v>0.30000000000000004</v>
      </c>
      <c r="L40" s="48" t="s">
        <v>195</v>
      </c>
      <c r="M40" s="4" t="s">
        <v>203</v>
      </c>
    </row>
    <row r="41" spans="1:13" x14ac:dyDescent="0.2">
      <c r="A41" s="4" t="s">
        <v>0</v>
      </c>
      <c r="B41" s="4" t="s">
        <v>117</v>
      </c>
      <c r="C41" s="4" t="s">
        <v>118</v>
      </c>
      <c r="D41" s="71" t="s">
        <v>119</v>
      </c>
      <c r="E41" s="98">
        <v>0</v>
      </c>
      <c r="F41" s="4" t="s">
        <v>115</v>
      </c>
      <c r="G41" s="61">
        <f>I41/0.7</f>
        <v>426.52857142857147</v>
      </c>
      <c r="H41" s="62">
        <f>E41*G41</f>
        <v>0</v>
      </c>
      <c r="I41" s="4">
        <v>298.57</v>
      </c>
      <c r="J41" s="62">
        <f>E41*I41</f>
        <v>0</v>
      </c>
      <c r="K41" s="63" t="e">
        <f>1-(J41/H41)</f>
        <v>#DIV/0!</v>
      </c>
      <c r="L41" s="48" t="s">
        <v>195</v>
      </c>
      <c r="M41" s="4" t="s">
        <v>203</v>
      </c>
    </row>
    <row r="42" spans="1:13" x14ac:dyDescent="0.2">
      <c r="A42" s="4" t="s">
        <v>0</v>
      </c>
      <c r="B42" s="4" t="s">
        <v>122</v>
      </c>
      <c r="C42" s="4" t="s">
        <v>123</v>
      </c>
      <c r="D42" s="71" t="s">
        <v>116</v>
      </c>
      <c r="E42" s="98">
        <f>ROUNDUP($C$8*$C$7,0)</f>
        <v>19</v>
      </c>
      <c r="F42" s="4" t="s">
        <v>115</v>
      </c>
      <c r="G42" s="61">
        <f>I42/0.7</f>
        <v>138.45714285714286</v>
      </c>
      <c r="H42" s="62">
        <f>E42*G42</f>
        <v>2630.6857142857143</v>
      </c>
      <c r="I42" s="4">
        <v>96.92</v>
      </c>
      <c r="J42" s="62">
        <f>E42*I42</f>
        <v>1841.48</v>
      </c>
      <c r="K42" s="63">
        <f>1-(J42/H42)</f>
        <v>0.30000000000000004</v>
      </c>
      <c r="L42" s="48" t="s">
        <v>195</v>
      </c>
      <c r="M42" s="4" t="s">
        <v>203</v>
      </c>
    </row>
    <row r="43" spans="1:13" x14ac:dyDescent="0.2">
      <c r="A43" s="4" t="s">
        <v>0</v>
      </c>
      <c r="B43" s="4" t="s">
        <v>186</v>
      </c>
      <c r="C43" s="4" t="s">
        <v>187</v>
      </c>
      <c r="D43" s="71" t="s">
        <v>188</v>
      </c>
      <c r="E43" s="98">
        <v>4</v>
      </c>
      <c r="F43" s="4" t="s">
        <v>115</v>
      </c>
      <c r="G43" s="61">
        <f t="shared" ref="G43:G45" si="5">I43/0.7</f>
        <v>410.3</v>
      </c>
      <c r="H43" s="62">
        <f t="shared" ref="H43:H45" si="6">E43*G43</f>
        <v>1641.2</v>
      </c>
      <c r="I43" s="4">
        <v>287.20999999999998</v>
      </c>
      <c r="J43" s="62">
        <f t="shared" ref="J43:J45" si="7">E43*I43</f>
        <v>1148.8399999999999</v>
      </c>
      <c r="K43" s="63">
        <f t="shared" ref="K43:K45" si="8">1-(J43/H43)</f>
        <v>0.30000000000000004</v>
      </c>
      <c r="L43" s="48" t="s">
        <v>195</v>
      </c>
      <c r="M43" s="4" t="s">
        <v>203</v>
      </c>
    </row>
    <row r="44" spans="1:13" x14ac:dyDescent="0.2">
      <c r="A44" s="4" t="s">
        <v>0</v>
      </c>
      <c r="B44" s="4" t="s">
        <v>189</v>
      </c>
      <c r="C44" s="4" t="s">
        <v>190</v>
      </c>
      <c r="D44" s="71" t="s">
        <v>191</v>
      </c>
      <c r="E44" s="98">
        <v>3</v>
      </c>
      <c r="F44" s="4" t="s">
        <v>115</v>
      </c>
      <c r="G44" s="61">
        <f t="shared" si="5"/>
        <v>129.4</v>
      </c>
      <c r="H44" s="62">
        <f t="shared" si="6"/>
        <v>388.20000000000005</v>
      </c>
      <c r="I44" s="4">
        <v>90.58</v>
      </c>
      <c r="J44" s="62">
        <f t="shared" si="7"/>
        <v>271.74</v>
      </c>
      <c r="K44" s="63">
        <f t="shared" si="8"/>
        <v>0.30000000000000004</v>
      </c>
      <c r="L44" s="48" t="s">
        <v>195</v>
      </c>
      <c r="M44" s="4" t="s">
        <v>203</v>
      </c>
    </row>
    <row r="45" spans="1:13" x14ac:dyDescent="0.2">
      <c r="A45" s="4" t="s">
        <v>0</v>
      </c>
      <c r="C45" s="4" t="s">
        <v>124</v>
      </c>
      <c r="D45" s="71" t="s">
        <v>192</v>
      </c>
      <c r="E45" s="98">
        <v>19</v>
      </c>
      <c r="F45" s="4" t="s">
        <v>115</v>
      </c>
      <c r="G45" s="61">
        <f t="shared" si="5"/>
        <v>20</v>
      </c>
      <c r="H45" s="62">
        <f t="shared" si="6"/>
        <v>380</v>
      </c>
      <c r="I45" s="4">
        <v>14</v>
      </c>
      <c r="J45" s="62">
        <f t="shared" si="7"/>
        <v>266</v>
      </c>
      <c r="K45" s="63">
        <f t="shared" si="8"/>
        <v>0.30000000000000004</v>
      </c>
      <c r="L45" s="48" t="s">
        <v>195</v>
      </c>
      <c r="M45" s="4" t="s">
        <v>203</v>
      </c>
    </row>
    <row r="46" spans="1:13" ht="12.75" thickBot="1" x14ac:dyDescent="0.25">
      <c r="A46" s="4" t="s">
        <v>0</v>
      </c>
      <c r="B46" s="64">
        <v>611604104</v>
      </c>
      <c r="C46" s="4" t="s">
        <v>124</v>
      </c>
      <c r="D46" s="71" t="s">
        <v>121</v>
      </c>
      <c r="E46" s="98">
        <v>0</v>
      </c>
      <c r="F46" s="4" t="s">
        <v>115</v>
      </c>
      <c r="G46" s="65">
        <f>I46/0.7</f>
        <v>70.714285714285722</v>
      </c>
      <c r="H46" s="66">
        <f>E46*G46</f>
        <v>0</v>
      </c>
      <c r="I46" s="66">
        <v>49.5</v>
      </c>
      <c r="J46" s="66">
        <f>E46*I46</f>
        <v>0</v>
      </c>
      <c r="K46" s="67" t="e">
        <f>1-(J46/H46)</f>
        <v>#DIV/0!</v>
      </c>
      <c r="L46" s="48" t="s">
        <v>195</v>
      </c>
      <c r="M46" s="4" t="s">
        <v>203</v>
      </c>
    </row>
    <row r="47" spans="1:13" ht="12.75" thickTop="1" x14ac:dyDescent="0.2">
      <c r="G47" s="62"/>
      <c r="H47" s="62">
        <f>SUM(H40:H46)</f>
        <v>7124.6571428571424</v>
      </c>
      <c r="I47" s="62"/>
      <c r="J47" s="62">
        <f>SUM(J40:J46)</f>
        <v>4987.26</v>
      </c>
      <c r="K47" s="63">
        <f>1-(J47/H47)</f>
        <v>0.29999999999999993</v>
      </c>
    </row>
    <row r="48" spans="1:13" ht="12.75" thickBot="1" x14ac:dyDescent="0.25">
      <c r="D48" s="71" t="s">
        <v>120</v>
      </c>
      <c r="E48" s="76">
        <v>0</v>
      </c>
      <c r="G48" s="62"/>
      <c r="H48" s="66">
        <f>-H47*E48</f>
        <v>0</v>
      </c>
      <c r="I48" s="62"/>
      <c r="J48" s="62"/>
      <c r="K48" s="63"/>
    </row>
    <row r="49" spans="1:12" ht="12.75" thickTop="1" x14ac:dyDescent="0.2">
      <c r="H49" s="68">
        <f>H47+H48</f>
        <v>7124.6571428571424</v>
      </c>
      <c r="I49" s="69"/>
      <c r="J49" s="68">
        <f>J47</f>
        <v>4987.26</v>
      </c>
      <c r="K49" s="70">
        <f>1-(J49/H49)</f>
        <v>0.29999999999999993</v>
      </c>
    </row>
    <row r="50" spans="1:12" x14ac:dyDescent="0.2">
      <c r="A50" s="58"/>
      <c r="B50" s="58" t="s">
        <v>149</v>
      </c>
      <c r="C50" s="59"/>
      <c r="D50" s="75"/>
      <c r="E50" s="96"/>
      <c r="F50" s="59"/>
      <c r="G50" s="59"/>
      <c r="H50" s="59"/>
      <c r="I50" s="59"/>
      <c r="J50" s="59"/>
      <c r="K50" s="59"/>
      <c r="L50" s="96"/>
    </row>
    <row r="51" spans="1:12" x14ac:dyDescent="0.2">
      <c r="B51" s="60" t="s">
        <v>128</v>
      </c>
      <c r="C51" s="60" t="s">
        <v>106</v>
      </c>
      <c r="D51" s="73" t="s">
        <v>68</v>
      </c>
      <c r="E51" s="2" t="s">
        <v>69</v>
      </c>
      <c r="F51" s="60" t="s">
        <v>107</v>
      </c>
      <c r="G51" s="60" t="s">
        <v>108</v>
      </c>
      <c r="H51" s="60" t="s">
        <v>109</v>
      </c>
      <c r="I51" s="60" t="s">
        <v>110</v>
      </c>
      <c r="J51" s="60" t="s">
        <v>111</v>
      </c>
      <c r="K51" s="60" t="s">
        <v>13</v>
      </c>
      <c r="L51" s="117" t="s">
        <v>194</v>
      </c>
    </row>
    <row r="52" spans="1:12" x14ac:dyDescent="0.2">
      <c r="A52" s="4" t="s">
        <v>0</v>
      </c>
      <c r="D52" s="71" t="s">
        <v>150</v>
      </c>
      <c r="E52" s="98">
        <f>C7</f>
        <v>362</v>
      </c>
      <c r="F52" s="4" t="s">
        <v>115</v>
      </c>
      <c r="G52" s="61" t="e">
        <f>I52/0.75</f>
        <v>#REF!</v>
      </c>
      <c r="H52" s="62" t="e">
        <f>E52*G52</f>
        <v>#REF!</v>
      </c>
      <c r="I52" s="4" t="e">
        <f>#REF!+#REF!</f>
        <v>#REF!</v>
      </c>
      <c r="J52" s="62" t="e">
        <f>E52*I52</f>
        <v>#REF!</v>
      </c>
      <c r="K52" s="63" t="e">
        <f>1-(J52/H52)</f>
        <v>#REF!</v>
      </c>
      <c r="L52" s="48" t="s">
        <v>196</v>
      </c>
    </row>
    <row r="53" spans="1:12" ht="12.75" thickBot="1" x14ac:dyDescent="0.25">
      <c r="A53" s="4" t="s">
        <v>0</v>
      </c>
      <c r="E53" s="98">
        <f>ROUNDUP($C$8*$C$7,0)</f>
        <v>19</v>
      </c>
      <c r="F53" s="4" t="s">
        <v>115</v>
      </c>
      <c r="G53" s="65" t="e">
        <f>I53/0.75</f>
        <v>#REF!</v>
      </c>
      <c r="H53" s="66" t="e">
        <f>E53*G53</f>
        <v>#REF!</v>
      </c>
      <c r="I53" s="72" t="e">
        <f>#REF!+#REF!</f>
        <v>#REF!</v>
      </c>
      <c r="J53" s="66" t="e">
        <f>E53*I53</f>
        <v>#REF!</v>
      </c>
      <c r="K53" s="67" t="e">
        <f>1-(J53/H53)</f>
        <v>#REF!</v>
      </c>
      <c r="L53" s="48" t="s">
        <v>196</v>
      </c>
    </row>
    <row r="54" spans="1:12" ht="12.75" thickTop="1" x14ac:dyDescent="0.2">
      <c r="G54" s="62"/>
      <c r="H54" s="62" t="e">
        <f>SUM(H50:H53)</f>
        <v>#REF!</v>
      </c>
      <c r="I54" s="62"/>
      <c r="J54" s="62" t="e">
        <f>SUM(J50:J53)</f>
        <v>#REF!</v>
      </c>
      <c r="K54" s="63" t="e">
        <f>1-(J54/H54)</f>
        <v>#REF!</v>
      </c>
    </row>
    <row r="55" spans="1:12" ht="12.75" thickBot="1" x14ac:dyDescent="0.25">
      <c r="D55" s="71" t="s">
        <v>120</v>
      </c>
      <c r="E55" s="76">
        <v>0</v>
      </c>
      <c r="G55" s="62"/>
      <c r="H55" s="66" t="e">
        <f>-H54*E55</f>
        <v>#REF!</v>
      </c>
      <c r="I55" s="62"/>
      <c r="J55" s="62"/>
      <c r="K55" s="63"/>
    </row>
    <row r="56" spans="1:12" ht="12.75" thickTop="1" x14ac:dyDescent="0.2">
      <c r="H56" s="68" t="e">
        <f>H54+H55</f>
        <v>#REF!</v>
      </c>
      <c r="I56" s="69"/>
      <c r="J56" s="68" t="e">
        <f>J54</f>
        <v>#REF!</v>
      </c>
      <c r="K56" s="70" t="e">
        <f>1-(J56/H56)</f>
        <v>#REF!</v>
      </c>
    </row>
    <row r="58" spans="1:12" x14ac:dyDescent="0.2">
      <c r="A58" s="58"/>
      <c r="B58" s="58" t="s">
        <v>129</v>
      </c>
      <c r="C58" s="59"/>
      <c r="D58" s="75"/>
      <c r="E58" s="96"/>
      <c r="F58" s="59"/>
      <c r="G58" s="59"/>
      <c r="H58" s="59"/>
      <c r="I58" s="59"/>
      <c r="J58" s="59"/>
      <c r="K58" s="59"/>
      <c r="L58" s="96"/>
    </row>
    <row r="59" spans="1:12" x14ac:dyDescent="0.2">
      <c r="B59" s="60" t="s">
        <v>128</v>
      </c>
      <c r="C59" s="60" t="s">
        <v>106</v>
      </c>
      <c r="D59" s="73" t="s">
        <v>68</v>
      </c>
      <c r="E59" s="2" t="s">
        <v>69</v>
      </c>
      <c r="F59" s="60" t="s">
        <v>107</v>
      </c>
      <c r="G59" s="60" t="s">
        <v>108</v>
      </c>
      <c r="H59" s="60" t="s">
        <v>109</v>
      </c>
      <c r="I59" s="60" t="s">
        <v>110</v>
      </c>
      <c r="J59" s="60" t="s">
        <v>111</v>
      </c>
      <c r="K59" s="60" t="s">
        <v>13</v>
      </c>
      <c r="L59" s="117" t="s">
        <v>194</v>
      </c>
    </row>
    <row r="60" spans="1:12" x14ac:dyDescent="0.2">
      <c r="A60" s="4" t="s">
        <v>0</v>
      </c>
      <c r="D60" s="71" t="s">
        <v>151</v>
      </c>
      <c r="E60" s="98">
        <f>$C$7</f>
        <v>362</v>
      </c>
      <c r="F60" s="4" t="s">
        <v>115</v>
      </c>
      <c r="G60" s="61" t="e">
        <f>I60/0.75</f>
        <v>#REF!</v>
      </c>
      <c r="H60" s="62" t="e">
        <f>E60*G60</f>
        <v>#REF!</v>
      </c>
      <c r="I60" s="4" t="e">
        <f>#REF!</f>
        <v>#REF!</v>
      </c>
      <c r="J60" s="62" t="e">
        <f>E60*I60</f>
        <v>#REF!</v>
      </c>
      <c r="K60" s="63" t="e">
        <f>1-(J60/H60)</f>
        <v>#REF!</v>
      </c>
      <c r="L60" s="48" t="s">
        <v>196</v>
      </c>
    </row>
    <row r="61" spans="1:12" ht="12.75" thickBot="1" x14ac:dyDescent="0.25">
      <c r="A61" s="4" t="s">
        <v>0</v>
      </c>
      <c r="E61" s="98">
        <f>ROUNDUP($C$8*$C$7,0)</f>
        <v>19</v>
      </c>
      <c r="F61" s="4" t="s">
        <v>115</v>
      </c>
      <c r="G61" s="65" t="e">
        <f>I61/0.75</f>
        <v>#REF!</v>
      </c>
      <c r="H61" s="66" t="e">
        <f>E61*G61</f>
        <v>#REF!</v>
      </c>
      <c r="I61" s="72" t="e">
        <f>#REF!</f>
        <v>#REF!</v>
      </c>
      <c r="J61" s="66" t="e">
        <f>E61*I61</f>
        <v>#REF!</v>
      </c>
      <c r="K61" s="67" t="e">
        <f>1-(J61/H61)</f>
        <v>#REF!</v>
      </c>
      <c r="L61" s="48" t="s">
        <v>196</v>
      </c>
    </row>
    <row r="62" spans="1:12" ht="12.75" thickTop="1" x14ac:dyDescent="0.2">
      <c r="G62" s="62"/>
      <c r="H62" s="62" t="e">
        <f>SUM(H58:H61)</f>
        <v>#REF!</v>
      </c>
      <c r="I62" s="62"/>
      <c r="J62" s="62" t="e">
        <f>SUM(J58:J61)</f>
        <v>#REF!</v>
      </c>
      <c r="K62" s="63" t="e">
        <f>1-(J62/H62)</f>
        <v>#REF!</v>
      </c>
    </row>
    <row r="63" spans="1:12" ht="12.75" thickBot="1" x14ac:dyDescent="0.25">
      <c r="D63" s="71" t="s">
        <v>120</v>
      </c>
      <c r="E63" s="76">
        <v>0</v>
      </c>
      <c r="G63" s="62"/>
      <c r="H63" s="66" t="e">
        <f>-H62*E63</f>
        <v>#REF!</v>
      </c>
      <c r="I63" s="62"/>
      <c r="J63" s="62"/>
      <c r="K63" s="63"/>
    </row>
    <row r="64" spans="1:12" ht="12.75" thickTop="1" x14ac:dyDescent="0.2">
      <c r="H64" s="68" t="e">
        <f>H62+H63</f>
        <v>#REF!</v>
      </c>
      <c r="I64" s="69"/>
      <c r="J64" s="68" t="e">
        <f>J62</f>
        <v>#REF!</v>
      </c>
      <c r="K64" s="70" t="e">
        <f>1-(J64/H64)</f>
        <v>#REF!</v>
      </c>
    </row>
    <row r="66" spans="1:12" x14ac:dyDescent="0.2">
      <c r="A66" s="58"/>
      <c r="B66" s="58" t="s">
        <v>130</v>
      </c>
      <c r="C66" s="59"/>
      <c r="D66" s="75"/>
      <c r="E66" s="96"/>
      <c r="F66" s="59"/>
      <c r="G66" s="59"/>
      <c r="H66" s="59"/>
      <c r="I66" s="59"/>
      <c r="J66" s="59"/>
      <c r="K66" s="59"/>
      <c r="L66" s="96"/>
    </row>
    <row r="67" spans="1:12" x14ac:dyDescent="0.2">
      <c r="B67" s="60" t="s">
        <v>128</v>
      </c>
      <c r="C67" s="60" t="s">
        <v>106</v>
      </c>
      <c r="D67" s="73" t="s">
        <v>68</v>
      </c>
      <c r="E67" s="2" t="s">
        <v>69</v>
      </c>
      <c r="F67" s="60" t="s">
        <v>107</v>
      </c>
      <c r="G67" s="60" t="s">
        <v>108</v>
      </c>
      <c r="H67" s="60" t="s">
        <v>109</v>
      </c>
      <c r="I67" s="60" t="s">
        <v>110</v>
      </c>
      <c r="J67" s="60" t="s">
        <v>111</v>
      </c>
      <c r="K67" s="60" t="s">
        <v>13</v>
      </c>
      <c r="L67" s="117" t="s">
        <v>194</v>
      </c>
    </row>
    <row r="68" spans="1:12" ht="36" x14ac:dyDescent="0.2">
      <c r="A68" s="4" t="s">
        <v>0</v>
      </c>
      <c r="B68" s="4" t="s">
        <v>131</v>
      </c>
      <c r="C68" s="4" t="s">
        <v>132</v>
      </c>
      <c r="D68" s="71" t="s">
        <v>133</v>
      </c>
      <c r="E68" s="98">
        <f>$C$7</f>
        <v>362</v>
      </c>
      <c r="F68" s="4" t="s">
        <v>115</v>
      </c>
      <c r="G68" s="61" t="e">
        <f>I68/0.75</f>
        <v>#REF!</v>
      </c>
      <c r="H68" s="62" t="e">
        <f>E68*G68</f>
        <v>#REF!</v>
      </c>
      <c r="I68" s="4" t="e">
        <f>#REF!</f>
        <v>#REF!</v>
      </c>
      <c r="J68" s="62" t="e">
        <f>E68*I68</f>
        <v>#REF!</v>
      </c>
      <c r="K68" s="63" t="e">
        <f>1-(J68/H68)</f>
        <v>#REF!</v>
      </c>
      <c r="L68" s="48" t="s">
        <v>196</v>
      </c>
    </row>
    <row r="69" spans="1:12" ht="48.75" thickBot="1" x14ac:dyDescent="0.25">
      <c r="A69" s="4" t="s">
        <v>0</v>
      </c>
      <c r="B69" s="4" t="s">
        <v>131</v>
      </c>
      <c r="C69" s="4" t="s">
        <v>132</v>
      </c>
      <c r="D69" s="71" t="s">
        <v>134</v>
      </c>
      <c r="E69" s="98">
        <f>ROUNDUP($C$8*$C$7,0)</f>
        <v>19</v>
      </c>
      <c r="F69" s="4" t="s">
        <v>115</v>
      </c>
      <c r="G69" s="65" t="e">
        <f>I69/0.75</f>
        <v>#REF!</v>
      </c>
      <c r="H69" s="66" t="e">
        <f>E69*G69</f>
        <v>#REF!</v>
      </c>
      <c r="I69" s="72" t="e">
        <f>#REF!</f>
        <v>#REF!</v>
      </c>
      <c r="J69" s="66" t="e">
        <f>E69*I69</f>
        <v>#REF!</v>
      </c>
      <c r="K69" s="67" t="e">
        <f>1-(J69/H69)</f>
        <v>#REF!</v>
      </c>
      <c r="L69" s="48" t="s">
        <v>196</v>
      </c>
    </row>
    <row r="70" spans="1:12" ht="12.75" thickTop="1" x14ac:dyDescent="0.2">
      <c r="G70" s="62"/>
      <c r="H70" s="62" t="e">
        <f>SUM(H66:H69)</f>
        <v>#REF!</v>
      </c>
      <c r="I70" s="62"/>
      <c r="J70" s="62" t="e">
        <f>SUM(J66:J69)</f>
        <v>#REF!</v>
      </c>
      <c r="K70" s="63" t="e">
        <f>1-(J70/H70)</f>
        <v>#REF!</v>
      </c>
    </row>
    <row r="71" spans="1:12" ht="12.75" thickBot="1" x14ac:dyDescent="0.25">
      <c r="D71" s="71" t="s">
        <v>120</v>
      </c>
      <c r="E71" s="76">
        <v>0</v>
      </c>
      <c r="G71" s="62"/>
      <c r="H71" s="66" t="e">
        <f>-H70*E71</f>
        <v>#REF!</v>
      </c>
      <c r="I71" s="62"/>
      <c r="J71" s="62"/>
      <c r="K71" s="63"/>
    </row>
    <row r="72" spans="1:12" ht="12.75" thickTop="1" x14ac:dyDescent="0.2">
      <c r="H72" s="68" t="e">
        <f>H70+H71</f>
        <v>#REF!</v>
      </c>
      <c r="I72" s="69"/>
      <c r="J72" s="68" t="e">
        <f>J70</f>
        <v>#REF!</v>
      </c>
      <c r="K72" s="70" t="e">
        <f>1-(J72/H72)</f>
        <v>#REF!</v>
      </c>
    </row>
    <row r="74" spans="1:12" x14ac:dyDescent="0.2">
      <c r="A74" s="58"/>
      <c r="B74" s="58" t="s">
        <v>135</v>
      </c>
      <c r="C74" s="59"/>
      <c r="D74" s="75"/>
      <c r="E74" s="96"/>
      <c r="F74" s="59"/>
      <c r="G74" s="59"/>
      <c r="H74" s="59"/>
      <c r="I74" s="59"/>
      <c r="J74" s="59"/>
      <c r="K74" s="59"/>
      <c r="L74" s="96"/>
    </row>
    <row r="75" spans="1:12" x14ac:dyDescent="0.2">
      <c r="B75" s="60" t="s">
        <v>128</v>
      </c>
      <c r="C75" s="60" t="s">
        <v>106</v>
      </c>
      <c r="D75" s="73" t="s">
        <v>68</v>
      </c>
      <c r="E75" s="2" t="s">
        <v>69</v>
      </c>
      <c r="F75" s="60" t="s">
        <v>107</v>
      </c>
      <c r="G75" s="60" t="s">
        <v>108</v>
      </c>
      <c r="H75" s="60" t="s">
        <v>109</v>
      </c>
      <c r="I75" s="60" t="s">
        <v>110</v>
      </c>
      <c r="J75" s="60" t="s">
        <v>111</v>
      </c>
      <c r="K75" s="60" t="s">
        <v>13</v>
      </c>
      <c r="L75" s="117" t="s">
        <v>194</v>
      </c>
    </row>
    <row r="76" spans="1:12" ht="12.75" thickBot="1" x14ac:dyDescent="0.25">
      <c r="A76" s="4" t="s">
        <v>0</v>
      </c>
      <c r="D76" s="71" t="s">
        <v>173</v>
      </c>
      <c r="E76" s="98">
        <v>1</v>
      </c>
      <c r="F76" s="4" t="s">
        <v>115</v>
      </c>
      <c r="G76" s="65">
        <f>I76/0.75</f>
        <v>6666.666666666667</v>
      </c>
      <c r="H76" s="66">
        <f>E76*G76</f>
        <v>6666.666666666667</v>
      </c>
      <c r="I76" s="74">
        <v>5000</v>
      </c>
      <c r="J76" s="66">
        <f>E76*I76</f>
        <v>5000</v>
      </c>
      <c r="K76" s="67">
        <f>1-(J76/H76)</f>
        <v>0.25</v>
      </c>
      <c r="L76" s="48" t="s">
        <v>196</v>
      </c>
    </row>
    <row r="77" spans="1:12" ht="12.75" thickTop="1" x14ac:dyDescent="0.2">
      <c r="G77" s="62"/>
      <c r="H77" s="62">
        <f>SUM(H74:H76)</f>
        <v>6666.666666666667</v>
      </c>
      <c r="I77" s="62"/>
      <c r="J77" s="62">
        <f>SUM(J74:J76)</f>
        <v>5000</v>
      </c>
      <c r="K77" s="63">
        <f>1-(J77/H77)</f>
        <v>0.25</v>
      </c>
    </row>
    <row r="78" spans="1:12" ht="12.75" thickBot="1" x14ac:dyDescent="0.25">
      <c r="D78" s="71" t="s">
        <v>120</v>
      </c>
      <c r="E78" s="76">
        <v>0</v>
      </c>
      <c r="G78" s="62"/>
      <c r="H78" s="66">
        <f>-H77*E78</f>
        <v>0</v>
      </c>
      <c r="I78" s="62"/>
      <c r="J78" s="62"/>
      <c r="K78" s="63"/>
    </row>
    <row r="79" spans="1:12" ht="12.75" thickTop="1" x14ac:dyDescent="0.2">
      <c r="H79" s="68">
        <f>H77+H78</f>
        <v>6666.666666666667</v>
      </c>
      <c r="I79" s="69"/>
      <c r="J79" s="68">
        <f>J77</f>
        <v>5000</v>
      </c>
      <c r="K79" s="70">
        <f>1-(J79/H79)</f>
        <v>0.25</v>
      </c>
    </row>
    <row r="81" spans="1:12" x14ac:dyDescent="0.2">
      <c r="A81" s="58"/>
      <c r="B81" s="58" t="s">
        <v>174</v>
      </c>
      <c r="C81" s="59"/>
      <c r="D81" s="75"/>
      <c r="E81" s="96"/>
      <c r="F81" s="59"/>
      <c r="G81" s="59"/>
      <c r="H81" s="59"/>
      <c r="I81" s="59"/>
      <c r="J81" s="59"/>
      <c r="K81" s="59"/>
      <c r="L81" s="96"/>
    </row>
    <row r="82" spans="1:12" x14ac:dyDescent="0.2">
      <c r="B82" s="60" t="s">
        <v>128</v>
      </c>
      <c r="C82" s="60" t="s">
        <v>106</v>
      </c>
      <c r="D82" s="73" t="s">
        <v>68</v>
      </c>
      <c r="E82" s="2" t="s">
        <v>69</v>
      </c>
      <c r="F82" s="60" t="s">
        <v>107</v>
      </c>
      <c r="G82" s="60" t="s">
        <v>108</v>
      </c>
      <c r="H82" s="60" t="s">
        <v>109</v>
      </c>
      <c r="I82" s="60" t="s">
        <v>110</v>
      </c>
      <c r="J82" s="60" t="s">
        <v>111</v>
      </c>
      <c r="K82" s="60" t="s">
        <v>13</v>
      </c>
      <c r="L82" s="117" t="s">
        <v>194</v>
      </c>
    </row>
    <row r="83" spans="1:12" x14ac:dyDescent="0.2">
      <c r="A83" s="4" t="s">
        <v>0</v>
      </c>
      <c r="D83" s="71" t="s">
        <v>175</v>
      </c>
      <c r="E83" s="98">
        <v>0</v>
      </c>
      <c r="F83" s="4" t="s">
        <v>115</v>
      </c>
      <c r="G83" s="61">
        <f t="shared" ref="G83:G91" si="9">I83/0.75</f>
        <v>0</v>
      </c>
      <c r="H83" s="62">
        <f>E83*G83*$C$18</f>
        <v>0</v>
      </c>
      <c r="I83" s="4">
        <v>0</v>
      </c>
      <c r="J83" s="62">
        <f>E83*I83*$C$18</f>
        <v>0</v>
      </c>
      <c r="K83" s="63" t="e">
        <f t="shared" ref="K83:K93" si="10">1-(J83/H83)</f>
        <v>#DIV/0!</v>
      </c>
      <c r="L83" s="48" t="s">
        <v>196</v>
      </c>
    </row>
    <row r="84" spans="1:12" x14ac:dyDescent="0.2">
      <c r="A84" s="4" t="s">
        <v>0</v>
      </c>
      <c r="D84" s="71" t="s">
        <v>176</v>
      </c>
      <c r="E84" s="98">
        <v>0</v>
      </c>
      <c r="F84" s="4" t="s">
        <v>115</v>
      </c>
      <c r="G84" s="61">
        <f t="shared" si="9"/>
        <v>0</v>
      </c>
      <c r="H84" s="62">
        <f>E84*G84</f>
        <v>0</v>
      </c>
      <c r="I84" s="4">
        <v>0</v>
      </c>
      <c r="J84" s="62">
        <f>E84*I84</f>
        <v>0</v>
      </c>
      <c r="K84" s="63" t="e">
        <f t="shared" si="10"/>
        <v>#DIV/0!</v>
      </c>
      <c r="L84" s="48" t="s">
        <v>196</v>
      </c>
    </row>
    <row r="85" spans="1:12" x14ac:dyDescent="0.2">
      <c r="A85" s="4" t="s">
        <v>0</v>
      </c>
      <c r="D85" s="71" t="s">
        <v>177</v>
      </c>
      <c r="E85" s="98">
        <v>1</v>
      </c>
      <c r="F85" s="4" t="s">
        <v>115</v>
      </c>
      <c r="G85" s="61" t="e">
        <f t="shared" si="9"/>
        <v>#REF!</v>
      </c>
      <c r="H85" s="62" t="e">
        <f>E85*G85</f>
        <v>#REF!</v>
      </c>
      <c r="I85" s="4" t="e">
        <f>#REF!</f>
        <v>#REF!</v>
      </c>
      <c r="J85" s="62" t="e">
        <f>E85*I85</f>
        <v>#REF!</v>
      </c>
      <c r="K85" s="63" t="e">
        <f t="shared" si="10"/>
        <v>#REF!</v>
      </c>
      <c r="L85" s="48" t="s">
        <v>196</v>
      </c>
    </row>
    <row r="86" spans="1:12" x14ac:dyDescent="0.2">
      <c r="A86" s="4" t="s">
        <v>0</v>
      </c>
      <c r="D86" s="71" t="s">
        <v>178</v>
      </c>
      <c r="E86" s="98">
        <v>0</v>
      </c>
      <c r="F86" s="4" t="s">
        <v>115</v>
      </c>
      <c r="G86" s="61">
        <f t="shared" si="9"/>
        <v>0</v>
      </c>
      <c r="H86" s="62">
        <f>E86*G86*$C$18</f>
        <v>0</v>
      </c>
      <c r="I86" s="4">
        <v>0</v>
      </c>
      <c r="J86" s="62">
        <f>E86*I86*$C$18</f>
        <v>0</v>
      </c>
      <c r="K86" s="63" t="e">
        <f t="shared" si="10"/>
        <v>#DIV/0!</v>
      </c>
      <c r="L86" s="48" t="s">
        <v>196</v>
      </c>
    </row>
    <row r="87" spans="1:12" x14ac:dyDescent="0.2">
      <c r="A87" s="4" t="s">
        <v>0</v>
      </c>
      <c r="D87" s="71" t="s">
        <v>179</v>
      </c>
      <c r="E87" s="98">
        <v>0</v>
      </c>
      <c r="F87" s="4" t="s">
        <v>115</v>
      </c>
      <c r="G87" s="61">
        <f t="shared" si="9"/>
        <v>0</v>
      </c>
      <c r="H87" s="62">
        <f>E87*G87*$C$18</f>
        <v>0</v>
      </c>
      <c r="I87" s="4">
        <v>0</v>
      </c>
      <c r="J87" s="62">
        <f>E87*I87*$C$18</f>
        <v>0</v>
      </c>
      <c r="K87" s="63" t="e">
        <f t="shared" si="10"/>
        <v>#DIV/0!</v>
      </c>
      <c r="L87" s="48" t="s">
        <v>196</v>
      </c>
    </row>
    <row r="88" spans="1:12" x14ac:dyDescent="0.2">
      <c r="A88" s="4" t="s">
        <v>0</v>
      </c>
      <c r="D88" s="71" t="s">
        <v>180</v>
      </c>
      <c r="E88" s="98">
        <v>0</v>
      </c>
      <c r="F88" s="4" t="s">
        <v>115</v>
      </c>
      <c r="G88" s="61">
        <f t="shared" si="9"/>
        <v>0</v>
      </c>
      <c r="H88" s="62">
        <f>E88*G88</f>
        <v>0</v>
      </c>
      <c r="I88" s="4">
        <v>0</v>
      </c>
      <c r="J88" s="62">
        <f>E88*I88</f>
        <v>0</v>
      </c>
      <c r="K88" s="63" t="e">
        <f t="shared" si="10"/>
        <v>#DIV/0!</v>
      </c>
      <c r="L88" s="48" t="s">
        <v>196</v>
      </c>
    </row>
    <row r="89" spans="1:12" x14ac:dyDescent="0.2">
      <c r="A89" s="4" t="s">
        <v>0</v>
      </c>
      <c r="E89" s="98"/>
      <c r="F89" s="4" t="s">
        <v>115</v>
      </c>
      <c r="G89" s="61">
        <f t="shared" si="9"/>
        <v>0</v>
      </c>
      <c r="H89" s="62">
        <f t="shared" ref="H89:H92" si="11">E89*G89</f>
        <v>0</v>
      </c>
      <c r="J89" s="62">
        <f t="shared" ref="J89:J92" si="12">E89*I89</f>
        <v>0</v>
      </c>
      <c r="K89" s="63" t="e">
        <f t="shared" si="10"/>
        <v>#DIV/0!</v>
      </c>
      <c r="L89" s="48" t="s">
        <v>196</v>
      </c>
    </row>
    <row r="90" spans="1:12" x14ac:dyDescent="0.2">
      <c r="A90" s="4" t="s">
        <v>0</v>
      </c>
      <c r="E90" s="98"/>
      <c r="F90" s="4" t="s">
        <v>115</v>
      </c>
      <c r="G90" s="61">
        <f t="shared" si="9"/>
        <v>0</v>
      </c>
      <c r="H90" s="62">
        <f t="shared" si="11"/>
        <v>0</v>
      </c>
      <c r="J90" s="62">
        <f t="shared" si="12"/>
        <v>0</v>
      </c>
      <c r="K90" s="63" t="e">
        <f t="shared" si="10"/>
        <v>#DIV/0!</v>
      </c>
      <c r="L90" s="48" t="s">
        <v>196</v>
      </c>
    </row>
    <row r="91" spans="1:12" x14ac:dyDescent="0.2">
      <c r="A91" s="4" t="s">
        <v>0</v>
      </c>
      <c r="E91" s="98"/>
      <c r="F91" s="4" t="s">
        <v>115</v>
      </c>
      <c r="G91" s="61">
        <f t="shared" si="9"/>
        <v>0</v>
      </c>
      <c r="H91" s="62">
        <f t="shared" si="11"/>
        <v>0</v>
      </c>
      <c r="J91" s="62">
        <f t="shared" si="12"/>
        <v>0</v>
      </c>
      <c r="K91" s="63" t="e">
        <f t="shared" si="10"/>
        <v>#DIV/0!</v>
      </c>
      <c r="L91" s="48" t="s">
        <v>196</v>
      </c>
    </row>
    <row r="92" spans="1:12" ht="12.75" thickBot="1" x14ac:dyDescent="0.25">
      <c r="B92" s="64"/>
      <c r="E92" s="98"/>
      <c r="F92" s="4" t="s">
        <v>115</v>
      </c>
      <c r="G92" s="61">
        <f t="shared" ref="G92" si="13">I92/0.6</f>
        <v>0</v>
      </c>
      <c r="H92" s="66">
        <f t="shared" si="11"/>
        <v>0</v>
      </c>
      <c r="I92" s="72">
        <v>0</v>
      </c>
      <c r="J92" s="66">
        <f t="shared" si="12"/>
        <v>0</v>
      </c>
      <c r="K92" s="67" t="e">
        <f t="shared" si="10"/>
        <v>#DIV/0!</v>
      </c>
      <c r="L92" s="48" t="s">
        <v>196</v>
      </c>
    </row>
    <row r="93" spans="1:12" ht="12.75" thickTop="1" x14ac:dyDescent="0.2">
      <c r="G93" s="62"/>
      <c r="H93" s="62" t="e">
        <f>SUM(H83:H92)</f>
        <v>#REF!</v>
      </c>
      <c r="I93" s="62"/>
      <c r="J93" s="62" t="e">
        <f>SUM(J83:J92)</f>
        <v>#REF!</v>
      </c>
      <c r="K93" s="63" t="e">
        <f t="shared" si="10"/>
        <v>#REF!</v>
      </c>
    </row>
    <row r="94" spans="1:12" ht="12.75" thickBot="1" x14ac:dyDescent="0.25">
      <c r="D94" s="71" t="s">
        <v>120</v>
      </c>
      <c r="E94" s="76">
        <v>0</v>
      </c>
      <c r="G94" s="62"/>
      <c r="H94" s="66" t="e">
        <f>-H93*E94</f>
        <v>#REF!</v>
      </c>
      <c r="I94" s="62"/>
      <c r="J94" s="62"/>
      <c r="K94" s="63"/>
    </row>
    <row r="95" spans="1:12" ht="12.75" thickTop="1" x14ac:dyDescent="0.2">
      <c r="H95" s="68" t="e">
        <f>H93+H94</f>
        <v>#REF!</v>
      </c>
      <c r="I95" s="69"/>
      <c r="J95" s="68" t="e">
        <f>J93</f>
        <v>#REF!</v>
      </c>
      <c r="K95" s="70" t="e">
        <f>1-(J95/H95)</f>
        <v>#REF!</v>
      </c>
    </row>
    <row r="96" spans="1:12" x14ac:dyDescent="0.2">
      <c r="A96" s="58"/>
      <c r="B96" s="58" t="s">
        <v>148</v>
      </c>
      <c r="C96" s="59"/>
      <c r="D96" s="75"/>
      <c r="E96" s="96"/>
      <c r="F96" s="59"/>
      <c r="G96" s="59"/>
      <c r="H96" s="59"/>
      <c r="I96" s="59"/>
      <c r="J96" s="59"/>
      <c r="K96" s="59"/>
      <c r="L96" s="96"/>
    </row>
    <row r="97" spans="1:12" x14ac:dyDescent="0.2">
      <c r="B97" s="60" t="s">
        <v>128</v>
      </c>
      <c r="C97" s="60" t="s">
        <v>106</v>
      </c>
      <c r="D97" s="73" t="s">
        <v>68</v>
      </c>
      <c r="E97" s="2" t="s">
        <v>69</v>
      </c>
      <c r="F97" s="60" t="s">
        <v>107</v>
      </c>
      <c r="G97" s="60" t="s">
        <v>108</v>
      </c>
      <c r="H97" s="60" t="s">
        <v>109</v>
      </c>
      <c r="I97" s="60" t="s">
        <v>110</v>
      </c>
      <c r="J97" s="60" t="s">
        <v>111</v>
      </c>
      <c r="K97" s="60" t="s">
        <v>13</v>
      </c>
      <c r="L97" s="117" t="s">
        <v>194</v>
      </c>
    </row>
    <row r="98" spans="1:12" x14ac:dyDescent="0.2">
      <c r="A98" s="4" t="s">
        <v>0</v>
      </c>
      <c r="B98" s="4" t="s">
        <v>171</v>
      </c>
      <c r="D98" s="71" t="s">
        <v>154</v>
      </c>
      <c r="E98" s="98">
        <f>C7*2</f>
        <v>724</v>
      </c>
      <c r="F98" s="4" t="s">
        <v>115</v>
      </c>
      <c r="G98" s="61" t="e">
        <f t="shared" ref="G98:G107" si="14">I98/0.75</f>
        <v>#REF!</v>
      </c>
      <c r="H98" s="62" t="e">
        <f t="shared" ref="H98:H108" si="15">E98*G98</f>
        <v>#REF!</v>
      </c>
      <c r="I98" s="61" t="e">
        <f>#REF!</f>
        <v>#REF!</v>
      </c>
      <c r="J98" s="62" t="e">
        <f t="shared" ref="J98:J108" si="16">E98*I98</f>
        <v>#REF!</v>
      </c>
      <c r="K98" s="63" t="e">
        <f t="shared" ref="K98:K109" si="17">1-(J98/H98)</f>
        <v>#REF!</v>
      </c>
      <c r="L98" s="48" t="s">
        <v>196</v>
      </c>
    </row>
    <row r="99" spans="1:12" ht="25.35" customHeight="1" x14ac:dyDescent="0.2">
      <c r="A99" s="4" t="s">
        <v>0</v>
      </c>
      <c r="B99" s="4" t="s">
        <v>171</v>
      </c>
      <c r="D99" s="71" t="s">
        <v>172</v>
      </c>
      <c r="E99" s="98">
        <f>C7*2</f>
        <v>724</v>
      </c>
      <c r="F99" s="4" t="s">
        <v>115</v>
      </c>
      <c r="G99" s="61" t="e">
        <f t="shared" si="14"/>
        <v>#REF!</v>
      </c>
      <c r="H99" s="62" t="e">
        <f t="shared" si="15"/>
        <v>#REF!</v>
      </c>
      <c r="I99" s="61" t="e">
        <f>#REF!</f>
        <v>#REF!</v>
      </c>
      <c r="J99" s="62" t="e">
        <f t="shared" si="16"/>
        <v>#REF!</v>
      </c>
      <c r="K99" s="63" t="e">
        <f t="shared" si="17"/>
        <v>#REF!</v>
      </c>
      <c r="L99" s="48" t="s">
        <v>196</v>
      </c>
    </row>
    <row r="100" spans="1:12" x14ac:dyDescent="0.2">
      <c r="A100" s="4" t="s">
        <v>0</v>
      </c>
      <c r="B100" s="4" t="s">
        <v>171</v>
      </c>
      <c r="D100" s="71" t="s">
        <v>155</v>
      </c>
      <c r="E100" s="98">
        <f>C7*2</f>
        <v>724</v>
      </c>
      <c r="F100" s="4" t="s">
        <v>115</v>
      </c>
      <c r="G100" s="61" t="e">
        <f t="shared" si="14"/>
        <v>#REF!</v>
      </c>
      <c r="H100" s="62" t="e">
        <f t="shared" si="15"/>
        <v>#REF!</v>
      </c>
      <c r="I100" s="61" t="e">
        <f>#REF!</f>
        <v>#REF!</v>
      </c>
      <c r="J100" s="62" t="e">
        <f t="shared" si="16"/>
        <v>#REF!</v>
      </c>
      <c r="K100" s="63" t="e">
        <f t="shared" si="17"/>
        <v>#REF!</v>
      </c>
      <c r="L100" s="48" t="s">
        <v>196</v>
      </c>
    </row>
    <row r="101" spans="1:12" ht="24" x14ac:dyDescent="0.2">
      <c r="A101" s="4" t="s">
        <v>0</v>
      </c>
      <c r="B101" s="4" t="s">
        <v>171</v>
      </c>
      <c r="D101" s="71" t="s">
        <v>156</v>
      </c>
      <c r="E101" s="98">
        <f>C7*2</f>
        <v>724</v>
      </c>
      <c r="F101" s="4" t="s">
        <v>115</v>
      </c>
      <c r="G101" s="61" t="e">
        <f t="shared" si="14"/>
        <v>#REF!</v>
      </c>
      <c r="H101" s="62" t="e">
        <f t="shared" si="15"/>
        <v>#REF!</v>
      </c>
      <c r="I101" s="61" t="e">
        <f>#REF!</f>
        <v>#REF!</v>
      </c>
      <c r="J101" s="62" t="e">
        <f t="shared" si="16"/>
        <v>#REF!</v>
      </c>
      <c r="K101" s="63" t="e">
        <f t="shared" si="17"/>
        <v>#REF!</v>
      </c>
      <c r="L101" s="48" t="s">
        <v>196</v>
      </c>
    </row>
    <row r="102" spans="1:12" x14ac:dyDescent="0.2">
      <c r="A102" s="4" t="s">
        <v>0</v>
      </c>
      <c r="B102" s="4" t="s">
        <v>171</v>
      </c>
      <c r="D102" s="71" t="s">
        <v>154</v>
      </c>
      <c r="E102" s="98">
        <f>ROUNDUP($C$8*$C$7,0)*2</f>
        <v>38</v>
      </c>
      <c r="F102" s="4" t="s">
        <v>115</v>
      </c>
      <c r="G102" s="61" t="e">
        <f t="shared" si="14"/>
        <v>#REF!</v>
      </c>
      <c r="H102" s="62" t="e">
        <f t="shared" si="15"/>
        <v>#REF!</v>
      </c>
      <c r="I102" s="61" t="e">
        <f>#REF!</f>
        <v>#REF!</v>
      </c>
      <c r="J102" s="62" t="e">
        <f t="shared" si="16"/>
        <v>#REF!</v>
      </c>
      <c r="K102" s="63" t="e">
        <f t="shared" si="17"/>
        <v>#REF!</v>
      </c>
      <c r="L102" s="48" t="s">
        <v>196</v>
      </c>
    </row>
    <row r="103" spans="1:12" ht="24" x14ac:dyDescent="0.2">
      <c r="A103" s="4" t="s">
        <v>0</v>
      </c>
      <c r="B103" s="4" t="s">
        <v>171</v>
      </c>
      <c r="D103" s="71" t="s">
        <v>172</v>
      </c>
      <c r="E103" s="98">
        <f>ROUNDUP($C$8*$C$7,0)*2</f>
        <v>38</v>
      </c>
      <c r="F103" s="4" t="s">
        <v>115</v>
      </c>
      <c r="G103" s="61" t="e">
        <f t="shared" si="14"/>
        <v>#REF!</v>
      </c>
      <c r="H103" s="62" t="e">
        <f t="shared" si="15"/>
        <v>#REF!</v>
      </c>
      <c r="I103" s="61" t="e">
        <f>#REF!</f>
        <v>#REF!</v>
      </c>
      <c r="J103" s="62" t="e">
        <f t="shared" si="16"/>
        <v>#REF!</v>
      </c>
      <c r="K103" s="63" t="e">
        <f t="shared" si="17"/>
        <v>#REF!</v>
      </c>
      <c r="L103" s="48" t="s">
        <v>196</v>
      </c>
    </row>
    <row r="104" spans="1:12" x14ac:dyDescent="0.2">
      <c r="A104" s="4" t="s">
        <v>0</v>
      </c>
      <c r="B104" s="4" t="s">
        <v>171</v>
      </c>
      <c r="D104" s="71" t="s">
        <v>155</v>
      </c>
      <c r="E104" s="98">
        <f>ROUNDUP($C$8*$C$7,0)*2</f>
        <v>38</v>
      </c>
      <c r="F104" s="4" t="s">
        <v>115</v>
      </c>
      <c r="G104" s="61" t="e">
        <f t="shared" si="14"/>
        <v>#REF!</v>
      </c>
      <c r="H104" s="62" t="e">
        <f t="shared" si="15"/>
        <v>#REF!</v>
      </c>
      <c r="I104" s="61" t="e">
        <f>#REF!</f>
        <v>#REF!</v>
      </c>
      <c r="J104" s="62" t="e">
        <f t="shared" si="16"/>
        <v>#REF!</v>
      </c>
      <c r="K104" s="63" t="e">
        <f t="shared" si="17"/>
        <v>#REF!</v>
      </c>
      <c r="L104" s="48" t="s">
        <v>196</v>
      </c>
    </row>
    <row r="105" spans="1:12" x14ac:dyDescent="0.2">
      <c r="E105" s="98">
        <v>0</v>
      </c>
      <c r="F105" s="4" t="s">
        <v>115</v>
      </c>
      <c r="G105" s="61">
        <f t="shared" si="14"/>
        <v>0</v>
      </c>
      <c r="H105" s="62">
        <f t="shared" si="15"/>
        <v>0</v>
      </c>
      <c r="I105" s="61">
        <v>0</v>
      </c>
      <c r="J105" s="62">
        <f t="shared" si="16"/>
        <v>0</v>
      </c>
      <c r="K105" s="63" t="e">
        <f t="shared" si="17"/>
        <v>#DIV/0!</v>
      </c>
      <c r="L105" s="48" t="s">
        <v>196</v>
      </c>
    </row>
    <row r="106" spans="1:12" x14ac:dyDescent="0.2">
      <c r="E106" s="98">
        <v>0</v>
      </c>
      <c r="F106" s="4" t="s">
        <v>115</v>
      </c>
      <c r="G106" s="61">
        <f t="shared" si="14"/>
        <v>0</v>
      </c>
      <c r="H106" s="62">
        <f t="shared" si="15"/>
        <v>0</v>
      </c>
      <c r="I106" s="61">
        <v>0</v>
      </c>
      <c r="J106" s="62">
        <f t="shared" si="16"/>
        <v>0</v>
      </c>
      <c r="K106" s="63" t="e">
        <f t="shared" si="17"/>
        <v>#DIV/0!</v>
      </c>
      <c r="L106" s="48" t="s">
        <v>196</v>
      </c>
    </row>
    <row r="107" spans="1:12" x14ac:dyDescent="0.2">
      <c r="A107" s="3"/>
      <c r="B107" s="3"/>
      <c r="C107" s="3"/>
      <c r="D107" s="41"/>
      <c r="E107" s="98">
        <v>0</v>
      </c>
      <c r="F107" s="4" t="s">
        <v>115</v>
      </c>
      <c r="G107" s="61">
        <f t="shared" si="14"/>
        <v>0</v>
      </c>
      <c r="H107" s="62">
        <f t="shared" si="15"/>
        <v>0</v>
      </c>
      <c r="I107" s="61">
        <v>0</v>
      </c>
      <c r="J107" s="62">
        <f t="shared" si="16"/>
        <v>0</v>
      </c>
      <c r="K107" s="63" t="e">
        <f t="shared" si="17"/>
        <v>#DIV/0!</v>
      </c>
      <c r="L107" s="48" t="s">
        <v>196</v>
      </c>
    </row>
    <row r="108" spans="1:12" ht="12.75" thickBot="1" x14ac:dyDescent="0.25">
      <c r="B108" s="64"/>
      <c r="E108" s="98"/>
      <c r="F108" s="4" t="s">
        <v>115</v>
      </c>
      <c r="G108" s="61">
        <f t="shared" ref="G108" si="18">I108/0.6</f>
        <v>0</v>
      </c>
      <c r="H108" s="66">
        <f t="shared" si="15"/>
        <v>0</v>
      </c>
      <c r="I108" s="72">
        <v>0</v>
      </c>
      <c r="J108" s="66">
        <f t="shared" si="16"/>
        <v>0</v>
      </c>
      <c r="K108" s="67" t="e">
        <f t="shared" si="17"/>
        <v>#DIV/0!</v>
      </c>
      <c r="L108" s="48" t="s">
        <v>196</v>
      </c>
    </row>
    <row r="109" spans="1:12" ht="12.75" thickTop="1" x14ac:dyDescent="0.2">
      <c r="G109" s="62"/>
      <c r="H109" s="62" t="e">
        <f>SUM(H98:H108)</f>
        <v>#REF!</v>
      </c>
      <c r="I109" s="62"/>
      <c r="J109" s="62" t="e">
        <f>SUM(J98:J108)</f>
        <v>#REF!</v>
      </c>
      <c r="K109" s="63" t="e">
        <f t="shared" si="17"/>
        <v>#REF!</v>
      </c>
    </row>
    <row r="110" spans="1:12" ht="12.75" thickBot="1" x14ac:dyDescent="0.25">
      <c r="D110" s="71" t="s">
        <v>120</v>
      </c>
      <c r="E110" s="76">
        <v>0</v>
      </c>
      <c r="G110" s="62"/>
      <c r="H110" s="66" t="e">
        <f>-H109*E110</f>
        <v>#REF!</v>
      </c>
      <c r="I110" s="62"/>
      <c r="J110" s="62"/>
      <c r="K110" s="63"/>
    </row>
    <row r="111" spans="1:12" ht="12.75" thickTop="1" x14ac:dyDescent="0.2">
      <c r="H111" s="68" t="e">
        <f>H109+H110</f>
        <v>#REF!</v>
      </c>
      <c r="I111" s="69"/>
      <c r="J111" s="68" t="e">
        <f>J109</f>
        <v>#REF!</v>
      </c>
      <c r="K111" s="70" t="e">
        <f>1-(J111/H111)</f>
        <v>#REF!</v>
      </c>
    </row>
    <row r="113" spans="1:13" x14ac:dyDescent="0.2">
      <c r="A113" s="464" t="s">
        <v>136</v>
      </c>
      <c r="B113" s="464"/>
      <c r="C113" s="464"/>
      <c r="D113" s="464"/>
      <c r="E113" s="464"/>
      <c r="F113" s="464"/>
      <c r="G113" s="464"/>
      <c r="H113" s="464"/>
      <c r="I113" s="464"/>
      <c r="J113" s="464"/>
      <c r="K113" s="464"/>
      <c r="L113" s="464"/>
    </row>
    <row r="114" spans="1:13" x14ac:dyDescent="0.2">
      <c r="A114" s="58"/>
      <c r="B114" s="58" t="s">
        <v>136</v>
      </c>
      <c r="C114" s="59"/>
      <c r="D114" s="75"/>
      <c r="E114" s="96"/>
      <c r="F114" s="59"/>
      <c r="G114" s="59"/>
      <c r="H114" s="59"/>
      <c r="I114" s="59"/>
      <c r="J114" s="59"/>
      <c r="K114" s="59"/>
      <c r="L114" s="96"/>
    </row>
    <row r="115" spans="1:13" x14ac:dyDescent="0.2">
      <c r="B115" s="60" t="s">
        <v>128</v>
      </c>
      <c r="C115" s="60" t="s">
        <v>106</v>
      </c>
      <c r="D115" s="73" t="s">
        <v>68</v>
      </c>
      <c r="E115" s="2" t="s">
        <v>69</v>
      </c>
      <c r="F115" s="60" t="s">
        <v>107</v>
      </c>
      <c r="G115" s="60" t="s">
        <v>108</v>
      </c>
      <c r="H115" s="60" t="s">
        <v>109</v>
      </c>
      <c r="I115" s="60" t="s">
        <v>110</v>
      </c>
      <c r="J115" s="60" t="s">
        <v>111</v>
      </c>
      <c r="K115" s="60" t="s">
        <v>13</v>
      </c>
      <c r="L115" s="117" t="s">
        <v>194</v>
      </c>
    </row>
    <row r="116" spans="1:13" x14ac:dyDescent="0.2">
      <c r="A116" s="4" t="s">
        <v>0</v>
      </c>
      <c r="D116" s="71" t="s">
        <v>9</v>
      </c>
      <c r="E116" s="98">
        <f>ROUNDUP(10%*$C$7,0)</f>
        <v>37</v>
      </c>
      <c r="F116" s="4" t="s">
        <v>115</v>
      </c>
      <c r="G116" s="61" t="e">
        <f t="shared" ref="G116:G121" si="19">I116/0.75</f>
        <v>#REF!</v>
      </c>
      <c r="H116" s="62" t="e">
        <f>E116*G116</f>
        <v>#REF!</v>
      </c>
      <c r="I116" s="61" t="e">
        <f>#REF!+#REF!</f>
        <v>#REF!</v>
      </c>
      <c r="J116" s="62" t="e">
        <f>E116*I116</f>
        <v>#REF!</v>
      </c>
      <c r="K116" s="63" t="e">
        <f t="shared" ref="K116:K122" si="20">1-(J116/H116)</f>
        <v>#REF!</v>
      </c>
      <c r="L116" s="48" t="s">
        <v>196</v>
      </c>
    </row>
    <row r="117" spans="1:13" x14ac:dyDescent="0.2">
      <c r="A117" s="4" t="s">
        <v>0</v>
      </c>
      <c r="D117" s="71" t="s">
        <v>6</v>
      </c>
      <c r="E117" s="98">
        <f>ROUNDUP(110%*$C$7,0)</f>
        <v>399</v>
      </c>
      <c r="F117" s="4" t="s">
        <v>115</v>
      </c>
      <c r="G117" s="61">
        <f t="shared" si="19"/>
        <v>6.666666666666667</v>
      </c>
      <c r="H117" s="62">
        <f>E117*G117*6</f>
        <v>15960</v>
      </c>
      <c r="I117" s="4">
        <v>5</v>
      </c>
      <c r="J117" s="62">
        <f>E117*I117*6</f>
        <v>11970</v>
      </c>
      <c r="K117" s="63">
        <f t="shared" si="20"/>
        <v>0.25</v>
      </c>
      <c r="L117" s="48" t="s">
        <v>196</v>
      </c>
    </row>
    <row r="118" spans="1:13" ht="24" x14ac:dyDescent="0.2">
      <c r="A118" s="4" t="s">
        <v>0</v>
      </c>
      <c r="D118" s="71" t="s">
        <v>160</v>
      </c>
      <c r="E118" s="98">
        <v>2</v>
      </c>
      <c r="F118" s="4" t="s">
        <v>115</v>
      </c>
      <c r="G118" s="61">
        <f t="shared" si="19"/>
        <v>2133.3333333333335</v>
      </c>
      <c r="H118" s="62">
        <f>E118*G118</f>
        <v>4266.666666666667</v>
      </c>
      <c r="I118" s="4">
        <v>1600</v>
      </c>
      <c r="J118" s="62">
        <f>E118*I118</f>
        <v>3200</v>
      </c>
      <c r="K118" s="63">
        <f t="shared" si="20"/>
        <v>0.25</v>
      </c>
      <c r="L118" s="48" t="s">
        <v>196</v>
      </c>
    </row>
    <row r="119" spans="1:13" x14ac:dyDescent="0.2">
      <c r="A119" s="4" t="s">
        <v>0</v>
      </c>
      <c r="D119" s="71" t="s">
        <v>12</v>
      </c>
      <c r="E119" s="98">
        <v>1</v>
      </c>
      <c r="F119" s="4" t="s">
        <v>115</v>
      </c>
      <c r="G119" s="61">
        <f t="shared" si="19"/>
        <v>4666.666666666667</v>
      </c>
      <c r="H119" s="62">
        <f>E119*G119</f>
        <v>4666.666666666667</v>
      </c>
      <c r="I119" s="4">
        <v>3500</v>
      </c>
      <c r="J119" s="62">
        <f>E119*I119</f>
        <v>3500</v>
      </c>
      <c r="K119" s="63">
        <f t="shared" si="20"/>
        <v>0.25</v>
      </c>
      <c r="L119" s="48" t="s">
        <v>196</v>
      </c>
    </row>
    <row r="120" spans="1:13" x14ac:dyDescent="0.2">
      <c r="A120" s="4" t="s">
        <v>0</v>
      </c>
      <c r="D120" s="71" t="s">
        <v>137</v>
      </c>
      <c r="E120" s="98">
        <f>ROUNDUP(10%*$C$7,0)</f>
        <v>37</v>
      </c>
      <c r="F120" s="4" t="s">
        <v>115</v>
      </c>
      <c r="G120" s="61">
        <f t="shared" si="19"/>
        <v>2000</v>
      </c>
      <c r="H120" s="62">
        <f>E120*G120</f>
        <v>74000</v>
      </c>
      <c r="I120" s="61">
        <v>1500</v>
      </c>
      <c r="J120" s="62">
        <f>E120*I120</f>
        <v>55500</v>
      </c>
      <c r="K120" s="63">
        <f t="shared" si="20"/>
        <v>0.25</v>
      </c>
      <c r="L120" s="48" t="s">
        <v>196</v>
      </c>
    </row>
    <row r="121" spans="1:13" ht="12.75" thickBot="1" x14ac:dyDescent="0.25">
      <c r="A121" s="4" t="s">
        <v>0</v>
      </c>
      <c r="B121" s="64"/>
      <c r="D121" s="71" t="s">
        <v>11</v>
      </c>
      <c r="E121" s="98">
        <f t="shared" ref="E121" si="21">$C$7</f>
        <v>362</v>
      </c>
      <c r="F121" s="4" t="s">
        <v>115</v>
      </c>
      <c r="G121" s="65" t="e">
        <f t="shared" si="19"/>
        <v>#REF!</v>
      </c>
      <c r="H121" s="66" t="e">
        <f>E121*G121</f>
        <v>#REF!</v>
      </c>
      <c r="I121" s="66" t="e">
        <f>#REF!+#REF!+#REF!+#REF!</f>
        <v>#REF!</v>
      </c>
      <c r="J121" s="66" t="e">
        <f>E121*I121</f>
        <v>#REF!</v>
      </c>
      <c r="K121" s="67" t="e">
        <f t="shared" si="20"/>
        <v>#REF!</v>
      </c>
      <c r="L121" s="48" t="s">
        <v>196</v>
      </c>
    </row>
    <row r="122" spans="1:13" ht="12.75" thickTop="1" x14ac:dyDescent="0.2">
      <c r="G122" s="62"/>
      <c r="H122" s="62" t="e">
        <f>SUM(H116:H121)</f>
        <v>#REF!</v>
      </c>
      <c r="I122" s="62"/>
      <c r="J122" s="62" t="e">
        <f>SUM(J116:J121)</f>
        <v>#REF!</v>
      </c>
      <c r="K122" s="63" t="e">
        <f t="shared" si="20"/>
        <v>#REF!</v>
      </c>
    </row>
    <row r="123" spans="1:13" ht="12.75" thickBot="1" x14ac:dyDescent="0.25">
      <c r="D123" s="71" t="s">
        <v>120</v>
      </c>
      <c r="E123" s="76">
        <v>0</v>
      </c>
      <c r="G123" s="62"/>
      <c r="H123" s="66" t="e">
        <f>-H122*E123</f>
        <v>#REF!</v>
      </c>
      <c r="I123" s="62"/>
      <c r="J123" s="62"/>
      <c r="K123" s="63"/>
    </row>
    <row r="124" spans="1:13" ht="12.75" thickTop="1" x14ac:dyDescent="0.2">
      <c r="H124" s="68" t="e">
        <f>H122+H123</f>
        <v>#REF!</v>
      </c>
      <c r="I124" s="69"/>
      <c r="J124" s="68" t="e">
        <f>J122</f>
        <v>#REF!</v>
      </c>
      <c r="K124" s="70" t="e">
        <f>1-(J124/H124)</f>
        <v>#REF!</v>
      </c>
    </row>
    <row r="125" spans="1:13" x14ac:dyDescent="0.2">
      <c r="H125" s="68"/>
      <c r="I125" s="69"/>
      <c r="J125" s="68"/>
      <c r="K125" s="70"/>
    </row>
    <row r="126" spans="1:13" x14ac:dyDescent="0.2">
      <c r="A126" s="58"/>
      <c r="B126" s="58" t="s">
        <v>17</v>
      </c>
      <c r="C126" s="59"/>
      <c r="D126" s="75"/>
      <c r="E126" s="96"/>
      <c r="F126" s="59"/>
      <c r="G126" s="59"/>
      <c r="H126" s="59"/>
      <c r="I126" s="59"/>
      <c r="J126" s="59"/>
      <c r="K126" s="59"/>
      <c r="L126" s="96"/>
    </row>
    <row r="127" spans="1:13" x14ac:dyDescent="0.2">
      <c r="B127" s="60" t="s">
        <v>128</v>
      </c>
      <c r="C127" s="60" t="s">
        <v>106</v>
      </c>
      <c r="D127" s="73" t="s">
        <v>68</v>
      </c>
      <c r="E127" s="2" t="s">
        <v>69</v>
      </c>
      <c r="F127" s="60" t="s">
        <v>107</v>
      </c>
      <c r="G127" s="60" t="s">
        <v>108</v>
      </c>
      <c r="H127" s="60" t="s">
        <v>109</v>
      </c>
      <c r="I127" s="60" t="s">
        <v>110</v>
      </c>
      <c r="J127" s="60" t="s">
        <v>111</v>
      </c>
      <c r="K127" s="60" t="s">
        <v>13</v>
      </c>
      <c r="L127" s="117" t="s">
        <v>194</v>
      </c>
    </row>
    <row r="128" spans="1:13" x14ac:dyDescent="0.2">
      <c r="A128" s="4" t="s">
        <v>0</v>
      </c>
      <c r="D128" s="71" t="s">
        <v>89</v>
      </c>
      <c r="E128" s="98">
        <v>1</v>
      </c>
      <c r="F128" s="4" t="s">
        <v>115</v>
      </c>
      <c r="G128" s="62" t="e">
        <f>I128/0.75</f>
        <v>#REF!</v>
      </c>
      <c r="H128" s="62" t="e">
        <f>E128*G128</f>
        <v>#REF!</v>
      </c>
      <c r="I128" s="62" t="e">
        <f>#REF!*$C$7/1376</f>
        <v>#REF!</v>
      </c>
      <c r="J128" s="62" t="e">
        <f>E128*I128</f>
        <v>#REF!</v>
      </c>
      <c r="K128" s="63" t="e">
        <f t="shared" ref="K128:K133" si="22">1-(J128/H128)</f>
        <v>#REF!</v>
      </c>
      <c r="L128" s="48" t="s">
        <v>195</v>
      </c>
      <c r="M128" s="4" t="s">
        <v>203</v>
      </c>
    </row>
    <row r="129" spans="1:13" x14ac:dyDescent="0.2">
      <c r="A129" s="4" t="s">
        <v>0</v>
      </c>
      <c r="D129" s="71" t="s">
        <v>70</v>
      </c>
      <c r="E129" s="98">
        <v>1</v>
      </c>
      <c r="F129" s="4" t="s">
        <v>115</v>
      </c>
      <c r="G129" s="62">
        <f>I129/0.7</f>
        <v>214285.71428571429</v>
      </c>
      <c r="H129" s="62">
        <f>E129*G129</f>
        <v>214285.71428571429</v>
      </c>
      <c r="I129" s="62">
        <v>150000</v>
      </c>
      <c r="J129" s="62">
        <f>E129*I129</f>
        <v>150000</v>
      </c>
      <c r="K129" s="63">
        <f t="shared" si="22"/>
        <v>0.30000000000000004</v>
      </c>
      <c r="L129" s="48" t="s">
        <v>195</v>
      </c>
      <c r="M129" s="4" t="s">
        <v>204</v>
      </c>
    </row>
    <row r="130" spans="1:13" x14ac:dyDescent="0.2">
      <c r="A130" s="4" t="s">
        <v>0</v>
      </c>
      <c r="D130" s="71" t="s">
        <v>87</v>
      </c>
      <c r="E130" s="98">
        <f>C7</f>
        <v>362</v>
      </c>
      <c r="F130" s="4" t="s">
        <v>115</v>
      </c>
      <c r="G130" s="62" t="e">
        <f>I130/0.75</f>
        <v>#REF!</v>
      </c>
      <c r="H130" s="62" t="e">
        <f t="shared" ref="H130:H132" si="23">E130*G130</f>
        <v>#REF!</v>
      </c>
      <c r="I130" s="62" t="e">
        <f>#REF!</f>
        <v>#REF!</v>
      </c>
      <c r="J130" s="62" t="e">
        <f t="shared" ref="J130:J132" si="24">E130*I130</f>
        <v>#REF!</v>
      </c>
      <c r="K130" s="63" t="e">
        <f t="shared" si="22"/>
        <v>#REF!</v>
      </c>
      <c r="L130" s="48" t="s">
        <v>195</v>
      </c>
      <c r="M130" s="4" t="s">
        <v>204</v>
      </c>
    </row>
    <row r="131" spans="1:13" x14ac:dyDescent="0.2">
      <c r="A131" s="4" t="s">
        <v>0</v>
      </c>
      <c r="D131" s="71" t="s">
        <v>168</v>
      </c>
      <c r="E131" s="98">
        <v>6</v>
      </c>
      <c r="F131" s="4" t="s">
        <v>115</v>
      </c>
      <c r="G131" s="62">
        <f>I131/0.7</f>
        <v>28571.428571428572</v>
      </c>
      <c r="H131" s="62">
        <f t="shared" si="23"/>
        <v>171428.57142857142</v>
      </c>
      <c r="I131" s="62">
        <v>20000</v>
      </c>
      <c r="J131" s="62">
        <f t="shared" si="24"/>
        <v>120000</v>
      </c>
      <c r="K131" s="63">
        <f t="shared" si="22"/>
        <v>0.29999999999999993</v>
      </c>
      <c r="L131" s="48" t="s">
        <v>195</v>
      </c>
      <c r="M131" s="4" t="s">
        <v>204</v>
      </c>
    </row>
    <row r="132" spans="1:13" x14ac:dyDescent="0.2">
      <c r="A132" s="4" t="s">
        <v>0</v>
      </c>
      <c r="D132" s="71" t="s">
        <v>169</v>
      </c>
      <c r="E132" s="98">
        <v>1</v>
      </c>
      <c r="F132" s="4" t="s">
        <v>115</v>
      </c>
      <c r="G132" s="62">
        <f>I132/0.75</f>
        <v>266666.66666666669</v>
      </c>
      <c r="H132" s="62">
        <f t="shared" si="23"/>
        <v>266666.66666666669</v>
      </c>
      <c r="I132" s="62">
        <v>200000</v>
      </c>
      <c r="J132" s="62">
        <f t="shared" si="24"/>
        <v>200000</v>
      </c>
      <c r="K132" s="63">
        <f t="shared" si="22"/>
        <v>0.25</v>
      </c>
      <c r="L132" s="48" t="s">
        <v>195</v>
      </c>
      <c r="M132" s="4" t="s">
        <v>204</v>
      </c>
    </row>
    <row r="133" spans="1:13" x14ac:dyDescent="0.2">
      <c r="A133" s="4" t="s">
        <v>0</v>
      </c>
      <c r="E133" s="98">
        <v>0</v>
      </c>
      <c r="F133" s="4" t="s">
        <v>115</v>
      </c>
      <c r="G133" s="62">
        <f t="shared" ref="G133" si="25">I133/0.6</f>
        <v>0</v>
      </c>
      <c r="H133" s="62">
        <f>E133*G133</f>
        <v>0</v>
      </c>
      <c r="I133" s="62">
        <v>0</v>
      </c>
      <c r="J133" s="62">
        <f>E133*I133</f>
        <v>0</v>
      </c>
      <c r="K133" s="63" t="e">
        <f t="shared" si="22"/>
        <v>#DIV/0!</v>
      </c>
    </row>
    <row r="134" spans="1:13" ht="12.75" thickBot="1" x14ac:dyDescent="0.25">
      <c r="B134" s="64"/>
      <c r="E134" s="98"/>
      <c r="G134" s="65"/>
      <c r="H134" s="66"/>
      <c r="I134" s="66"/>
      <c r="J134" s="66"/>
      <c r="K134" s="67"/>
    </row>
    <row r="135" spans="1:13" ht="12.75" thickTop="1" x14ac:dyDescent="0.2">
      <c r="G135" s="62"/>
      <c r="H135" s="62" t="e">
        <f>SUM(H128:H134)</f>
        <v>#REF!</v>
      </c>
      <c r="I135" s="62"/>
      <c r="J135" s="62" t="e">
        <f>SUM(J128:J134)</f>
        <v>#REF!</v>
      </c>
      <c r="K135" s="63" t="e">
        <f>1-(J135/H135)</f>
        <v>#REF!</v>
      </c>
    </row>
    <row r="136" spans="1:13" ht="12.75" thickBot="1" x14ac:dyDescent="0.25">
      <c r="D136" s="71" t="s">
        <v>120</v>
      </c>
      <c r="E136" s="76">
        <v>0</v>
      </c>
      <c r="G136" s="62"/>
      <c r="H136" s="66" t="e">
        <f>-H135*E136</f>
        <v>#REF!</v>
      </c>
      <c r="I136" s="62"/>
      <c r="J136" s="62"/>
      <c r="K136" s="63"/>
    </row>
    <row r="137" spans="1:13" ht="12.75" thickTop="1" x14ac:dyDescent="0.2">
      <c r="H137" s="68" t="e">
        <f>H135+H136</f>
        <v>#REF!</v>
      </c>
      <c r="I137" s="69"/>
      <c r="J137" s="68" t="e">
        <f>J135</f>
        <v>#REF!</v>
      </c>
      <c r="K137" s="70" t="e">
        <f>1-(J137/H137)</f>
        <v>#REF!</v>
      </c>
    </row>
    <row r="138" spans="1:13" x14ac:dyDescent="0.2">
      <c r="M138" s="48"/>
    </row>
    <row r="139" spans="1:13" x14ac:dyDescent="0.2">
      <c r="A139" s="58"/>
      <c r="B139" s="58" t="s">
        <v>146</v>
      </c>
      <c r="C139" s="59"/>
      <c r="D139" s="75"/>
      <c r="E139" s="96"/>
      <c r="F139" s="59"/>
      <c r="G139" s="59"/>
      <c r="H139" s="59"/>
      <c r="I139" s="59"/>
      <c r="J139" s="59"/>
      <c r="K139" s="59"/>
      <c r="L139" s="96"/>
    </row>
    <row r="140" spans="1:13" x14ac:dyDescent="0.2">
      <c r="B140" s="60" t="s">
        <v>128</v>
      </c>
      <c r="C140" s="60" t="s">
        <v>106</v>
      </c>
      <c r="D140" s="73" t="s">
        <v>68</v>
      </c>
      <c r="E140" s="2" t="s">
        <v>69</v>
      </c>
      <c r="F140" s="60" t="s">
        <v>107</v>
      </c>
      <c r="G140" s="60" t="s">
        <v>108</v>
      </c>
      <c r="H140" s="60" t="s">
        <v>109</v>
      </c>
      <c r="I140" s="60" t="s">
        <v>110</v>
      </c>
      <c r="J140" s="60" t="s">
        <v>111</v>
      </c>
      <c r="K140" s="60" t="s">
        <v>13</v>
      </c>
      <c r="L140" s="117" t="s">
        <v>194</v>
      </c>
    </row>
    <row r="141" spans="1:13" x14ac:dyDescent="0.2">
      <c r="A141" s="4" t="s">
        <v>0</v>
      </c>
      <c r="D141" s="71" t="s">
        <v>181</v>
      </c>
      <c r="E141" s="98">
        <f>$C$7</f>
        <v>362</v>
      </c>
      <c r="F141" s="4" t="s">
        <v>115</v>
      </c>
      <c r="G141" s="62">
        <f>I141/0.75</f>
        <v>333.33333333333331</v>
      </c>
      <c r="H141" s="62">
        <f>E141*G141</f>
        <v>120666.66666666666</v>
      </c>
      <c r="I141" s="62">
        <v>250</v>
      </c>
      <c r="J141" s="62">
        <f>E141*I141</f>
        <v>90500</v>
      </c>
      <c r="K141" s="63">
        <f t="shared" ref="K141:K146" si="26">1-(J141/H141)</f>
        <v>0.24999999999999989</v>
      </c>
      <c r="L141" s="48" t="s">
        <v>196</v>
      </c>
    </row>
    <row r="142" spans="1:13" x14ac:dyDescent="0.2">
      <c r="A142" s="4" t="s">
        <v>0</v>
      </c>
      <c r="D142" s="71" t="s">
        <v>185</v>
      </c>
      <c r="E142" s="98">
        <f>ROUNDUP($C$8*$C$7,0)</f>
        <v>19</v>
      </c>
      <c r="F142" s="4" t="s">
        <v>115</v>
      </c>
      <c r="G142" s="62">
        <f>I142/0.75</f>
        <v>333.33333333333331</v>
      </c>
      <c r="H142" s="62">
        <f>E142*G142</f>
        <v>6333.333333333333</v>
      </c>
      <c r="I142" s="62">
        <v>250</v>
      </c>
      <c r="J142" s="62">
        <f>E142*I142</f>
        <v>4750</v>
      </c>
      <c r="K142" s="63">
        <f t="shared" si="26"/>
        <v>0.25</v>
      </c>
      <c r="L142" s="48" t="s">
        <v>196</v>
      </c>
    </row>
    <row r="143" spans="1:13" x14ac:dyDescent="0.2">
      <c r="A143" s="4" t="s">
        <v>0</v>
      </c>
      <c r="D143" s="71" t="s">
        <v>182</v>
      </c>
      <c r="E143" s="98">
        <v>1</v>
      </c>
      <c r="F143" s="4" t="s">
        <v>115</v>
      </c>
      <c r="G143" s="62" t="e">
        <f>I143/0.75</f>
        <v>#REF!</v>
      </c>
      <c r="H143" s="62" t="e">
        <f>E143*G143</f>
        <v>#REF!</v>
      </c>
      <c r="I143" s="62" t="e">
        <f>#REF!</f>
        <v>#REF!</v>
      </c>
      <c r="J143" s="62" t="e">
        <f>E143*I143</f>
        <v>#REF!</v>
      </c>
      <c r="K143" s="63" t="e">
        <f t="shared" si="26"/>
        <v>#REF!</v>
      </c>
      <c r="L143" s="48" t="s">
        <v>196</v>
      </c>
    </row>
    <row r="144" spans="1:13" x14ac:dyDescent="0.2">
      <c r="A144" s="4" t="s">
        <v>0</v>
      </c>
      <c r="D144" s="71" t="s">
        <v>183</v>
      </c>
      <c r="E144" s="98">
        <v>1</v>
      </c>
      <c r="F144" s="4" t="s">
        <v>115</v>
      </c>
      <c r="G144" s="62" t="e">
        <f>I144/0.75</f>
        <v>#REF!</v>
      </c>
      <c r="H144" s="62" t="e">
        <f>E144*G144</f>
        <v>#REF!</v>
      </c>
      <c r="I144" s="62" t="e">
        <f>#REF!</f>
        <v>#REF!</v>
      </c>
      <c r="J144" s="62" t="e">
        <f>E144*I144</f>
        <v>#REF!</v>
      </c>
      <c r="K144" s="63" t="e">
        <f t="shared" si="26"/>
        <v>#REF!</v>
      </c>
      <c r="L144" s="48" t="s">
        <v>196</v>
      </c>
    </row>
    <row r="145" spans="1:12" ht="12.75" thickBot="1" x14ac:dyDescent="0.25">
      <c r="A145" s="4" t="s">
        <v>0</v>
      </c>
      <c r="D145" s="71" t="s">
        <v>184</v>
      </c>
      <c r="E145" s="98">
        <v>1</v>
      </c>
      <c r="F145" s="4" t="s">
        <v>115</v>
      </c>
      <c r="G145" s="66" t="e">
        <f>I145/0.75</f>
        <v>#REF!</v>
      </c>
      <c r="H145" s="66" t="e">
        <f>E145*G145</f>
        <v>#REF!</v>
      </c>
      <c r="I145" s="66" t="e">
        <f>#REF!</f>
        <v>#REF!</v>
      </c>
      <c r="J145" s="66" t="e">
        <f>E145*I145</f>
        <v>#REF!</v>
      </c>
      <c r="K145" s="67" t="e">
        <f t="shared" si="26"/>
        <v>#REF!</v>
      </c>
      <c r="L145" s="48" t="s">
        <v>196</v>
      </c>
    </row>
    <row r="146" spans="1:12" ht="12.75" thickTop="1" x14ac:dyDescent="0.2">
      <c r="G146" s="62"/>
      <c r="H146" s="62" t="e">
        <f>SUM(H141:H145)</f>
        <v>#REF!</v>
      </c>
      <c r="I146" s="62"/>
      <c r="J146" s="62" t="e">
        <f>SUM(J141:J145)</f>
        <v>#REF!</v>
      </c>
      <c r="K146" s="63" t="e">
        <f t="shared" si="26"/>
        <v>#REF!</v>
      </c>
    </row>
    <row r="147" spans="1:12" ht="12.75" thickBot="1" x14ac:dyDescent="0.25">
      <c r="D147" s="71" t="s">
        <v>120</v>
      </c>
      <c r="E147" s="76">
        <v>0</v>
      </c>
      <c r="G147" s="62"/>
      <c r="H147" s="66" t="e">
        <f>-H146*E147</f>
        <v>#REF!</v>
      </c>
      <c r="I147" s="62"/>
      <c r="J147" s="62"/>
      <c r="K147" s="63"/>
    </row>
    <row r="148" spans="1:12" ht="12.75" thickTop="1" x14ac:dyDescent="0.2">
      <c r="H148" s="68" t="e">
        <f>H146+H147</f>
        <v>#REF!</v>
      </c>
      <c r="I148" s="69"/>
      <c r="J148" s="68" t="e">
        <f>J146</f>
        <v>#REF!</v>
      </c>
      <c r="K148" s="70" t="e">
        <f>1-(J148/H148)</f>
        <v>#REF!</v>
      </c>
    </row>
    <row r="149" spans="1:12" x14ac:dyDescent="0.2">
      <c r="A149" s="457" t="s">
        <v>139</v>
      </c>
      <c r="B149" s="457"/>
      <c r="C149" s="457"/>
      <c r="D149" s="457"/>
      <c r="E149" s="457"/>
      <c r="F149" s="457"/>
      <c r="G149" s="457"/>
      <c r="H149" s="457"/>
      <c r="I149" s="457"/>
      <c r="J149" s="457"/>
      <c r="K149" s="457"/>
      <c r="L149" s="457"/>
    </row>
    <row r="150" spans="1:12" x14ac:dyDescent="0.2">
      <c r="A150" s="78" t="s">
        <v>5</v>
      </c>
      <c r="B150" s="78" t="s">
        <v>140</v>
      </c>
      <c r="C150" s="79"/>
      <c r="D150" s="80"/>
      <c r="E150" s="97"/>
      <c r="F150" s="79"/>
      <c r="G150" s="79"/>
      <c r="H150" s="79"/>
      <c r="I150" s="79"/>
      <c r="J150" s="79"/>
      <c r="K150" s="79"/>
      <c r="L150" s="97"/>
    </row>
    <row r="151" spans="1:12" x14ac:dyDescent="0.2">
      <c r="B151" s="60" t="s">
        <v>128</v>
      </c>
      <c r="C151" s="60" t="s">
        <v>106</v>
      </c>
      <c r="D151" s="73" t="s">
        <v>68</v>
      </c>
      <c r="E151" s="2" t="s">
        <v>69</v>
      </c>
      <c r="F151" s="60" t="s">
        <v>107</v>
      </c>
      <c r="G151" s="60" t="s">
        <v>108</v>
      </c>
      <c r="H151" s="60" t="s">
        <v>109</v>
      </c>
      <c r="I151" s="60" t="s">
        <v>110</v>
      </c>
      <c r="J151" s="60" t="s">
        <v>111</v>
      </c>
      <c r="K151" s="60" t="s">
        <v>13</v>
      </c>
      <c r="L151" s="117" t="s">
        <v>194</v>
      </c>
    </row>
    <row r="152" spans="1:12" x14ac:dyDescent="0.2">
      <c r="A152" s="4" t="s">
        <v>1</v>
      </c>
      <c r="D152" s="71" t="s">
        <v>193</v>
      </c>
      <c r="E152" s="98">
        <v>30</v>
      </c>
      <c r="F152" s="4" t="s">
        <v>115</v>
      </c>
      <c r="G152" s="61">
        <f>I152/0.7</f>
        <v>10714.285714285716</v>
      </c>
      <c r="H152" s="62">
        <f>E152*G152</f>
        <v>321428.57142857148</v>
      </c>
      <c r="I152" s="61">
        <v>7500</v>
      </c>
      <c r="J152" s="62">
        <f>E152*I152</f>
        <v>225000</v>
      </c>
      <c r="K152" s="63">
        <f t="shared" ref="K152:K156" si="27">1-(J152/H152)</f>
        <v>0.30000000000000016</v>
      </c>
      <c r="L152" s="48" t="s">
        <v>195</v>
      </c>
    </row>
    <row r="153" spans="1:12" x14ac:dyDescent="0.2">
      <c r="A153" s="4" t="s">
        <v>1</v>
      </c>
      <c r="D153" s="71" t="s">
        <v>72</v>
      </c>
      <c r="E153" s="98">
        <v>30</v>
      </c>
      <c r="F153" s="4" t="s">
        <v>115</v>
      </c>
      <c r="G153" s="61" t="e">
        <f>I153/0.7</f>
        <v>#REF!</v>
      </c>
      <c r="H153" s="62" t="e">
        <f>E153*G153</f>
        <v>#REF!</v>
      </c>
      <c r="I153" s="61" t="e">
        <f>#REF!</f>
        <v>#REF!</v>
      </c>
      <c r="J153" s="62" t="e">
        <f>E153*I153</f>
        <v>#REF!</v>
      </c>
      <c r="K153" s="63" t="e">
        <f t="shared" si="27"/>
        <v>#REF!</v>
      </c>
      <c r="L153" s="48" t="s">
        <v>196</v>
      </c>
    </row>
    <row r="154" spans="1:12" ht="24" x14ac:dyDescent="0.2">
      <c r="A154" s="4" t="s">
        <v>1</v>
      </c>
      <c r="D154" s="71" t="s">
        <v>147</v>
      </c>
      <c r="E154" s="98">
        <f>C7</f>
        <v>362</v>
      </c>
      <c r="F154" s="4" t="s">
        <v>115</v>
      </c>
      <c r="G154" s="61">
        <f>I154/0.7</f>
        <v>4.2857142857142856</v>
      </c>
      <c r="H154" s="62">
        <f>E154*G154*24</f>
        <v>37234.28571428571</v>
      </c>
      <c r="I154" s="4">
        <v>3</v>
      </c>
      <c r="J154" s="62">
        <f>E154*I154*24</f>
        <v>26064</v>
      </c>
      <c r="K154" s="63">
        <f t="shared" si="27"/>
        <v>0.29999999999999993</v>
      </c>
      <c r="L154" s="48" t="s">
        <v>195</v>
      </c>
    </row>
    <row r="155" spans="1:12" x14ac:dyDescent="0.2">
      <c r="A155" s="4" t="s">
        <v>1</v>
      </c>
      <c r="D155" s="71" t="s">
        <v>152</v>
      </c>
      <c r="E155" s="98">
        <f>ROUNDUP(30%*$C$7,0)</f>
        <v>109</v>
      </c>
      <c r="F155" s="4" t="s">
        <v>115</v>
      </c>
      <c r="G155" s="61" t="e">
        <f>I155/0.75</f>
        <v>#REF!</v>
      </c>
      <c r="H155" s="62" t="e">
        <f>E155*G155</f>
        <v>#REF!</v>
      </c>
      <c r="I155" s="4" t="e">
        <f>#REF!*2</f>
        <v>#REF!</v>
      </c>
      <c r="J155" s="62" t="e">
        <f>E155*I155</f>
        <v>#REF!</v>
      </c>
      <c r="K155" s="63" t="e">
        <f t="shared" si="27"/>
        <v>#REF!</v>
      </c>
      <c r="L155" s="48" t="s">
        <v>196</v>
      </c>
    </row>
    <row r="156" spans="1:12" x14ac:dyDescent="0.2">
      <c r="A156" s="4" t="s">
        <v>1</v>
      </c>
      <c r="D156" s="71" t="s">
        <v>88</v>
      </c>
      <c r="E156" s="98">
        <f>C7</f>
        <v>362</v>
      </c>
      <c r="F156" s="4" t="s">
        <v>115</v>
      </c>
      <c r="G156" s="61" t="e">
        <f>I156/0.75</f>
        <v>#REF!</v>
      </c>
      <c r="H156" s="62" t="e">
        <f>E156*G156*36</f>
        <v>#REF!</v>
      </c>
      <c r="I156" s="77" t="e">
        <f>#REF!/951</f>
        <v>#REF!</v>
      </c>
      <c r="J156" s="62" t="e">
        <f>E156*I156*36</f>
        <v>#REF!</v>
      </c>
      <c r="K156" s="63" t="e">
        <f t="shared" si="27"/>
        <v>#REF!</v>
      </c>
      <c r="L156" s="48" t="s">
        <v>195</v>
      </c>
    </row>
    <row r="157" spans="1:12" ht="12.75" thickBot="1" x14ac:dyDescent="0.25">
      <c r="B157" s="64"/>
      <c r="E157" s="98"/>
      <c r="G157" s="65"/>
      <c r="H157" s="66"/>
      <c r="I157" s="66"/>
      <c r="J157" s="66"/>
      <c r="K157" s="67"/>
    </row>
    <row r="158" spans="1:12" ht="12.75" thickTop="1" x14ac:dyDescent="0.2">
      <c r="G158" s="62"/>
      <c r="H158" s="62" t="e">
        <f>SUM(H152:H157)</f>
        <v>#REF!</v>
      </c>
      <c r="I158" s="62"/>
      <c r="J158" s="62" t="e">
        <f>SUM(J152:J157)</f>
        <v>#REF!</v>
      </c>
      <c r="K158" s="63" t="e">
        <f>1-(J158/H158)</f>
        <v>#REF!</v>
      </c>
    </row>
    <row r="159" spans="1:12" ht="12.75" thickBot="1" x14ac:dyDescent="0.25">
      <c r="D159" s="71" t="s">
        <v>120</v>
      </c>
      <c r="E159" s="76">
        <v>0</v>
      </c>
      <c r="G159" s="62"/>
      <c r="H159" s="66" t="e">
        <f>-H158*E159</f>
        <v>#REF!</v>
      </c>
      <c r="I159" s="62"/>
      <c r="J159" s="62"/>
      <c r="K159" s="63"/>
    </row>
    <row r="160" spans="1:12" ht="12.75" thickTop="1" x14ac:dyDescent="0.2">
      <c r="H160" s="68" t="e">
        <f>H158+H159</f>
        <v>#REF!</v>
      </c>
      <c r="I160" s="69"/>
      <c r="J160" s="68" t="e">
        <f>J158</f>
        <v>#REF!</v>
      </c>
      <c r="K160" s="70" t="e">
        <f>1-(J160/H160)</f>
        <v>#REF!</v>
      </c>
    </row>
    <row r="162" spans="1:13" x14ac:dyDescent="0.2">
      <c r="A162" s="78"/>
      <c r="B162" s="78" t="s">
        <v>18</v>
      </c>
      <c r="C162" s="79"/>
      <c r="D162" s="80"/>
      <c r="E162" s="97"/>
      <c r="F162" s="79"/>
      <c r="G162" s="79"/>
      <c r="H162" s="79"/>
      <c r="I162" s="79"/>
      <c r="J162" s="79"/>
      <c r="K162" s="79"/>
      <c r="L162" s="97"/>
    </row>
    <row r="163" spans="1:13" x14ac:dyDescent="0.2">
      <c r="B163" s="60" t="s">
        <v>128</v>
      </c>
      <c r="C163" s="60" t="s">
        <v>106</v>
      </c>
      <c r="D163" s="73" t="s">
        <v>68</v>
      </c>
      <c r="E163" s="2" t="s">
        <v>69</v>
      </c>
      <c r="F163" s="60" t="s">
        <v>107</v>
      </c>
      <c r="G163" s="60" t="s">
        <v>108</v>
      </c>
      <c r="H163" s="60" t="s">
        <v>109</v>
      </c>
      <c r="I163" s="60" t="s">
        <v>110</v>
      </c>
      <c r="J163" s="60" t="s">
        <v>111</v>
      </c>
      <c r="K163" s="60" t="s">
        <v>13</v>
      </c>
      <c r="L163" s="117" t="s">
        <v>194</v>
      </c>
      <c r="M163" s="60"/>
    </row>
    <row r="164" spans="1:13" x14ac:dyDescent="0.2">
      <c r="A164" s="4" t="s">
        <v>1</v>
      </c>
      <c r="B164" s="4" t="s">
        <v>141</v>
      </c>
      <c r="D164" s="71" t="s">
        <v>223</v>
      </c>
      <c r="E164" s="98">
        <f>C11</f>
        <v>852.5</v>
      </c>
      <c r="F164" s="4" t="s">
        <v>115</v>
      </c>
      <c r="G164" s="61">
        <f>I164/0.75</f>
        <v>166.66666666666666</v>
      </c>
      <c r="H164" s="62">
        <f>E164*G164*24</f>
        <v>3409999.9999999995</v>
      </c>
      <c r="I164" s="61">
        <v>125</v>
      </c>
      <c r="J164" s="62">
        <f>E164*I164*24</f>
        <v>2557500</v>
      </c>
      <c r="K164" s="63">
        <f>1-(J164/H164)</f>
        <v>0.24999999999999989</v>
      </c>
      <c r="L164" s="48" t="s">
        <v>195</v>
      </c>
      <c r="M164" s="4" t="s">
        <v>144</v>
      </c>
    </row>
    <row r="165" spans="1:13" ht="24" x14ac:dyDescent="0.2">
      <c r="A165" s="4" t="s">
        <v>1</v>
      </c>
      <c r="B165" s="4" t="s">
        <v>138</v>
      </c>
      <c r="D165" s="71" t="s">
        <v>224</v>
      </c>
      <c r="E165" s="98">
        <f>C10</f>
        <v>52.5</v>
      </c>
      <c r="F165" s="4" t="s">
        <v>115</v>
      </c>
      <c r="G165" s="61">
        <v>81</v>
      </c>
      <c r="H165" s="62">
        <f>E165*G165*24</f>
        <v>102060</v>
      </c>
      <c r="I165" s="61">
        <v>52</v>
      </c>
      <c r="J165" s="62">
        <f>E165*I165*24</f>
        <v>65520</v>
      </c>
      <c r="K165" s="63">
        <f>1-(J165/H165)</f>
        <v>0.35802469135802473</v>
      </c>
      <c r="L165" s="48" t="s">
        <v>195</v>
      </c>
      <c r="M165" s="4" t="s">
        <v>144</v>
      </c>
    </row>
    <row r="166" spans="1:13" ht="12.75" thickBot="1" x14ac:dyDescent="0.25">
      <c r="A166" s="4" t="s">
        <v>1</v>
      </c>
      <c r="B166" s="4" t="s">
        <v>138</v>
      </c>
      <c r="D166" s="71" t="s">
        <v>161</v>
      </c>
      <c r="E166" s="98">
        <v>50</v>
      </c>
      <c r="F166" s="4" t="s">
        <v>115</v>
      </c>
      <c r="G166" s="61">
        <v>81</v>
      </c>
      <c r="H166" s="66">
        <f>E166*G166*7</f>
        <v>28350</v>
      </c>
      <c r="I166" s="65">
        <v>52</v>
      </c>
      <c r="J166" s="66">
        <f>E166*I166*7</f>
        <v>18200</v>
      </c>
      <c r="K166" s="67">
        <f>1-(J166/H166)</f>
        <v>0.35802469135802473</v>
      </c>
      <c r="L166" s="48" t="s">
        <v>195</v>
      </c>
      <c r="M166" s="4" t="s">
        <v>144</v>
      </c>
    </row>
    <row r="167" spans="1:13" ht="12.75" thickTop="1" x14ac:dyDescent="0.2">
      <c r="G167" s="62"/>
      <c r="H167" s="62">
        <f>SUM(H164:H166)</f>
        <v>3540409.9999999995</v>
      </c>
      <c r="I167" s="62"/>
      <c r="J167" s="62">
        <f>SUM(J164:J166)</f>
        <v>2641220</v>
      </c>
      <c r="K167" s="63">
        <f>1-(J167/H167)</f>
        <v>0.25397905892255412</v>
      </c>
    </row>
    <row r="168" spans="1:13" ht="12.75" thickBot="1" x14ac:dyDescent="0.25">
      <c r="D168" s="71" t="s">
        <v>120</v>
      </c>
      <c r="E168" s="76">
        <v>0</v>
      </c>
      <c r="G168" s="62"/>
      <c r="H168" s="66">
        <f>-H167*E168</f>
        <v>0</v>
      </c>
      <c r="I168" s="62"/>
      <c r="J168" s="62"/>
      <c r="K168" s="63"/>
    </row>
    <row r="169" spans="1:13" ht="12.75" thickTop="1" x14ac:dyDescent="0.2">
      <c r="H169" s="68">
        <f>H167+H168</f>
        <v>3540409.9999999995</v>
      </c>
      <c r="I169" s="69"/>
      <c r="J169" s="68">
        <f>J167</f>
        <v>2641220</v>
      </c>
      <c r="K169" s="70">
        <f>1-(J169/H169)</f>
        <v>0.25397905892255412</v>
      </c>
    </row>
    <row r="170" spans="1:13" x14ac:dyDescent="0.2">
      <c r="A170" s="78"/>
      <c r="B170" s="78" t="s">
        <v>8</v>
      </c>
      <c r="C170" s="79"/>
      <c r="D170" s="80"/>
      <c r="E170" s="97"/>
      <c r="F170" s="79"/>
      <c r="G170" s="79"/>
      <c r="H170" s="79"/>
      <c r="I170" s="79"/>
      <c r="J170" s="79"/>
      <c r="K170" s="79"/>
      <c r="L170" s="97"/>
    </row>
    <row r="171" spans="1:13" x14ac:dyDescent="0.2">
      <c r="B171" s="60" t="s">
        <v>128</v>
      </c>
      <c r="C171" s="60" t="s">
        <v>106</v>
      </c>
      <c r="D171" s="73" t="s">
        <v>68</v>
      </c>
      <c r="E171" s="2" t="s">
        <v>69</v>
      </c>
      <c r="F171" s="60" t="s">
        <v>107</v>
      </c>
      <c r="G171" s="60" t="s">
        <v>108</v>
      </c>
      <c r="H171" s="60" t="s">
        <v>109</v>
      </c>
      <c r="I171" s="60" t="s">
        <v>110</v>
      </c>
      <c r="J171" s="60" t="s">
        <v>111</v>
      </c>
      <c r="K171" s="60" t="s">
        <v>13</v>
      </c>
    </row>
    <row r="172" spans="1:13" x14ac:dyDescent="0.2">
      <c r="A172" s="4" t="s">
        <v>1</v>
      </c>
      <c r="D172" s="71" t="s">
        <v>15</v>
      </c>
      <c r="E172" s="98">
        <f>ROUNDUP(C19*$C$7,0)</f>
        <v>4</v>
      </c>
      <c r="F172" s="4" t="s">
        <v>115</v>
      </c>
      <c r="G172" s="62">
        <f>I172/0.75</f>
        <v>173.68421052631581</v>
      </c>
      <c r="H172" s="62">
        <v>0</v>
      </c>
      <c r="I172" s="62">
        <f>10%*C20</f>
        <v>130.26315789473685</v>
      </c>
      <c r="J172" s="62">
        <f>E172*I172*24</f>
        <v>12505.263157894737</v>
      </c>
      <c r="K172" s="63" t="e">
        <f>1-(J172/H172)</f>
        <v>#DIV/0!</v>
      </c>
      <c r="L172" s="48" t="s">
        <v>196</v>
      </c>
    </row>
    <row r="173" spans="1:13" ht="12.75" thickBot="1" x14ac:dyDescent="0.25">
      <c r="B173" s="64"/>
      <c r="D173" s="136" t="s">
        <v>225</v>
      </c>
      <c r="E173" s="98">
        <v>1</v>
      </c>
      <c r="G173" s="65"/>
      <c r="H173" s="66"/>
      <c r="I173" s="66">
        <v>100000</v>
      </c>
      <c r="J173" s="66">
        <v>100000</v>
      </c>
      <c r="K173" s="67"/>
    </row>
    <row r="174" spans="1:13" ht="12.75" thickTop="1" x14ac:dyDescent="0.2">
      <c r="G174" s="62"/>
      <c r="H174" s="62">
        <f>SUM(H172:H173)</f>
        <v>0</v>
      </c>
      <c r="I174" s="62"/>
      <c r="J174" s="62">
        <f>SUM(J172:J173)</f>
        <v>112505.26315789473</v>
      </c>
      <c r="K174" s="63" t="e">
        <f>1-(J174/H174)</f>
        <v>#DIV/0!</v>
      </c>
    </row>
    <row r="175" spans="1:13" ht="12.75" thickBot="1" x14ac:dyDescent="0.25">
      <c r="D175" s="71" t="s">
        <v>120</v>
      </c>
      <c r="E175" s="76">
        <v>0</v>
      </c>
      <c r="G175" s="62"/>
      <c r="H175" s="66">
        <f>-H174*E175</f>
        <v>0</v>
      </c>
      <c r="I175" s="62"/>
      <c r="J175" s="62"/>
      <c r="K175" s="63"/>
    </row>
    <row r="176" spans="1:13" ht="12.75" thickTop="1" x14ac:dyDescent="0.2">
      <c r="H176" s="68">
        <f>H174+H175</f>
        <v>0</v>
      </c>
      <c r="I176" s="69"/>
      <c r="J176" s="68">
        <f>J174</f>
        <v>112505.26315789473</v>
      </c>
      <c r="K176" s="70" t="e">
        <f>1-(J176/H176)</f>
        <v>#DIV/0!</v>
      </c>
    </row>
    <row r="178" spans="4:17" ht="15.75" thickBot="1" x14ac:dyDescent="0.3">
      <c r="H178" s="1" t="s">
        <v>4</v>
      </c>
      <c r="J178" s="106" t="s">
        <v>19</v>
      </c>
      <c r="K178" s="108" t="s">
        <v>13</v>
      </c>
    </row>
    <row r="179" spans="4:17" ht="15.75" thickBot="1" x14ac:dyDescent="0.3">
      <c r="D179" s="81" t="s">
        <v>142</v>
      </c>
      <c r="E179" s="99"/>
      <c r="F179" s="82"/>
      <c r="G179" s="82"/>
      <c r="H179" s="105" t="e">
        <f>H36+H49+H56+H64+H72+H79+H95+H124+H137+H148+H160+H169+H176+H111</f>
        <v>#REF!</v>
      </c>
      <c r="I179" s="82"/>
      <c r="J179" s="105" t="e">
        <f>J36+J49+J56+J64+J72+J79+J95+J124+J137+J148+J160+J169+J176+J111</f>
        <v>#REF!</v>
      </c>
      <c r="K179" s="107" t="e">
        <f>1-(J179/H179)</f>
        <v>#REF!</v>
      </c>
    </row>
    <row r="180" spans="4:17" ht="15.75" thickBot="1" x14ac:dyDescent="0.3">
      <c r="D180" s="49"/>
      <c r="E180" s="104"/>
      <c r="F180" s="49"/>
      <c r="G180" s="49"/>
      <c r="H180" s="83"/>
      <c r="I180" s="49"/>
      <c r="J180" s="85"/>
      <c r="K180" s="86"/>
    </row>
    <row r="181" spans="4:17" ht="15.75" thickBot="1" x14ac:dyDescent="0.3">
      <c r="D181" s="81" t="s">
        <v>143</v>
      </c>
      <c r="E181" s="100">
        <v>0</v>
      </c>
      <c r="F181" s="82"/>
      <c r="G181" s="82"/>
      <c r="H181" s="87" t="e">
        <f>-E181*H179</f>
        <v>#REF!</v>
      </c>
      <c r="I181" s="82"/>
      <c r="J181" s="83">
        <v>0</v>
      </c>
      <c r="K181" s="84"/>
    </row>
    <row r="182" spans="4:17" ht="15.75" thickBot="1" x14ac:dyDescent="0.3">
      <c r="D182"/>
      <c r="E182" s="101"/>
      <c r="F182"/>
      <c r="G182"/>
      <c r="H182"/>
      <c r="I182"/>
      <c r="J182"/>
      <c r="K182"/>
    </row>
    <row r="183" spans="4:17" ht="15.75" thickBot="1" x14ac:dyDescent="0.3">
      <c r="D183" s="88" t="s">
        <v>153</v>
      </c>
      <c r="E183" s="102"/>
      <c r="F183" s="89"/>
      <c r="G183" s="89"/>
      <c r="H183" s="90" t="e">
        <f>H179+H181</f>
        <v>#REF!</v>
      </c>
      <c r="I183" s="89"/>
      <c r="J183" s="90" t="e">
        <f>J179+J180</f>
        <v>#REF!</v>
      </c>
      <c r="K183" s="91" t="e">
        <f>1-(J183/H183)</f>
        <v>#REF!</v>
      </c>
    </row>
    <row r="184" spans="4:17" ht="15.75" thickBot="1" x14ac:dyDescent="0.3">
      <c r="D184"/>
      <c r="E184" s="101"/>
      <c r="F184"/>
      <c r="G184"/>
      <c r="H184"/>
      <c r="I184"/>
      <c r="J184"/>
      <c r="K184"/>
    </row>
    <row r="185" spans="4:17" ht="15.75" thickBot="1" x14ac:dyDescent="0.3">
      <c r="D185" s="92" t="s">
        <v>170</v>
      </c>
      <c r="E185" s="103"/>
      <c r="F185" s="93"/>
      <c r="G185" s="93"/>
      <c r="H185" s="94" t="e">
        <f>H183/C7/C18</f>
        <v>#REF!</v>
      </c>
      <c r="I185" s="93"/>
      <c r="J185" s="94" t="e">
        <f>J183/C7/C18</f>
        <v>#REF!</v>
      </c>
      <c r="K185" s="95" t="e">
        <f>1-(J185/H185)</f>
        <v>#REF!</v>
      </c>
      <c r="N185" s="118" t="s">
        <v>19</v>
      </c>
      <c r="O185" s="118" t="s">
        <v>4</v>
      </c>
      <c r="P185" s="118" t="s">
        <v>197</v>
      </c>
      <c r="Q185" s="118" t="s">
        <v>4</v>
      </c>
    </row>
    <row r="186" spans="4:17" ht="15" customHeight="1" thickBot="1" x14ac:dyDescent="0.3">
      <c r="D186"/>
      <c r="E186" s="101"/>
      <c r="F186"/>
      <c r="G186"/>
      <c r="H186"/>
      <c r="I186"/>
      <c r="J186"/>
      <c r="K186"/>
      <c r="M186" s="119" t="s">
        <v>195</v>
      </c>
      <c r="N186" s="120" t="e">
        <f>N187+N189+N190+N188</f>
        <v>#REF!</v>
      </c>
      <c r="O186" s="120" t="e">
        <f>O187+O189+O190+O188</f>
        <v>#REF!</v>
      </c>
      <c r="P186" s="121" t="e">
        <f>1-(N186/O186)</f>
        <v>#REF!</v>
      </c>
      <c r="Q186" s="458" t="e">
        <f>O186/O195</f>
        <v>#REF!</v>
      </c>
    </row>
    <row r="187" spans="4:17" ht="12.75" thickTop="1" x14ac:dyDescent="0.2">
      <c r="M187" s="122" t="s">
        <v>198</v>
      </c>
      <c r="N187" s="123" t="e">
        <f>SUMIFS(J26:J176,A26:A176,"CAPEX",L26:L176,"HNS",M26:M176,"VSAT")</f>
        <v>#REF!</v>
      </c>
      <c r="O187" s="123" t="e">
        <f>SUMIFS(H26:H176,A26:A176,"CAPEX",L26:L176,"HNS",M26:M176,"VSAT")-(SUMIFS(H26:H176,A26:A176,"CAPEX",L26:L176,"HNS",M26:M176,"VSAT"))*E181</f>
        <v>#REF!</v>
      </c>
      <c r="P187" s="124" t="e">
        <f>1-(N187/O187)</f>
        <v>#REF!</v>
      </c>
      <c r="Q187" s="458"/>
    </row>
    <row r="188" spans="4:17" x14ac:dyDescent="0.2">
      <c r="M188" s="122" t="s">
        <v>199</v>
      </c>
      <c r="N188" s="123" t="e">
        <f>SUMIFS(J26:J176,A26:A176,"CAPEX",L26:L176,"HNS",M26:M176,"GW-INFRA")</f>
        <v>#REF!</v>
      </c>
      <c r="O188" s="123" t="e">
        <f>SUMIFS(H26:H176,A26:A176,"CAPEX",L26:L176,"HNS",M26:M176,"GW-INFRA")-(SUMIFS(H26:H176,A26:A176,"CAPEX",L26:L176,"HNS",M26:M176,"GW-INFRA"))*E181</f>
        <v>#REF!</v>
      </c>
      <c r="P188" s="124" t="e">
        <f>1-(N188/O188)</f>
        <v>#REF!</v>
      </c>
      <c r="Q188" s="458"/>
    </row>
    <row r="189" spans="4:17" x14ac:dyDescent="0.2">
      <c r="M189" s="122" t="s">
        <v>200</v>
      </c>
      <c r="N189" s="123" t="e">
        <f>SUMIFS(J26:J176,A26:A176,"OPEX",L26:L176,"HNS",M26:M176,"")</f>
        <v>#REF!</v>
      </c>
      <c r="O189" s="123" t="e">
        <f>SUMIFS(H26:H176,A26:A176,"OPEX",L26:L176,"HNS",M26:M176,"")-(SUMIFS(H26:H176,A26:A176,"OPEX",L26:L176,"HNS",M26:M176,""))*E181</f>
        <v>#REF!</v>
      </c>
      <c r="P189" s="124" t="e">
        <f t="shared" ref="P189:P193" si="28">1-(N189/O189)</f>
        <v>#REF!</v>
      </c>
      <c r="Q189" s="458"/>
    </row>
    <row r="190" spans="4:17" x14ac:dyDescent="0.2">
      <c r="M190" s="122" t="s">
        <v>205</v>
      </c>
      <c r="N190" s="123">
        <f>SUMIFS(J26:J176,A26:A176,"OPEX",L26:L176,"HNS",M26:M176,"T19V")</f>
        <v>2641220</v>
      </c>
      <c r="O190" s="123">
        <f>SUMIFS(H26:H176,A26:A176,"OPEX",L26:L176,"HNS",M26:M176,"T19V")-(SUMIFS(H26:H176,A26:A176,"OPEX",L26:L176,"HNS",M26:M176,"T19V"))*E181</f>
        <v>3540409.9999999995</v>
      </c>
      <c r="P190" s="124">
        <f t="shared" si="28"/>
        <v>0.25397905892255412</v>
      </c>
      <c r="Q190" s="458"/>
    </row>
    <row r="191" spans="4:17" ht="12.75" thickBot="1" x14ac:dyDescent="0.25">
      <c r="M191" s="125" t="s">
        <v>196</v>
      </c>
      <c r="N191" s="126" t="e">
        <f>N192+N193+N194</f>
        <v>#REF!</v>
      </c>
      <c r="O191" s="126" t="e">
        <f>O192+O193+O194</f>
        <v>#REF!</v>
      </c>
      <c r="P191" s="127" t="e">
        <f t="shared" si="28"/>
        <v>#REF!</v>
      </c>
      <c r="Q191" s="459" t="e">
        <f>O191/O195</f>
        <v>#REF!</v>
      </c>
    </row>
    <row r="192" spans="4:17" ht="12.75" thickTop="1" x14ac:dyDescent="0.2">
      <c r="M192" s="128" t="s">
        <v>201</v>
      </c>
      <c r="N192" s="129" t="e">
        <f>SUMIFS(J26:J176,A26:A176,"CAPEX",L26:L176,"HDP",M26:M176,"")</f>
        <v>#REF!</v>
      </c>
      <c r="O192" s="129" t="e">
        <f>SUMIFS(H26:H176,A26:A176,"CAPEX",L26:L176,"HDP",M26:M176,"")-(SUMIFS(H26:H176,A26:A176,"CAPEX",L26:L176,"HDP",M26:M176,""))*E181</f>
        <v>#REF!</v>
      </c>
      <c r="P192" s="130" t="e">
        <f t="shared" si="28"/>
        <v>#REF!</v>
      </c>
      <c r="Q192" s="459"/>
    </row>
    <row r="193" spans="4:17" x14ac:dyDescent="0.2">
      <c r="M193" s="128" t="s">
        <v>202</v>
      </c>
      <c r="N193" s="129" t="e">
        <f>SUMIFS(J26:J176,A26:A176,"OPEX",L26:L176,"HDP",M26:M176,"")</f>
        <v>#REF!</v>
      </c>
      <c r="O193" s="129" t="e">
        <f>SUMIFS(H26:H176,A26:A176,"OPEX",L26:L176,"HDP",M26:M176,"")-(SUMIFS(H26:H176,A26:A176,"OPEX",L26:L176,"HDP",M26:M176,""))*E181</f>
        <v>#REF!</v>
      </c>
      <c r="P193" s="130" t="e">
        <f t="shared" si="28"/>
        <v>#REF!</v>
      </c>
      <c r="Q193" s="459"/>
    </row>
    <row r="194" spans="4:17" x14ac:dyDescent="0.2">
      <c r="M194" s="128"/>
      <c r="N194" s="129">
        <f>SUMIFS(J26:J176,A26:A176,"OPEX",L26:L176,"HDP",M26:M176,"SES-17")</f>
        <v>0</v>
      </c>
      <c r="O194" s="129">
        <f>SUMIFS(H47:H175,A47:A175,"OPEX",L47:L175,"HDP",P47:P175,"SES-17")-(SUMIFS(H47:H175,A47:A175,"OPEX",L47:L175,"HDP",P47:P175,"SES-17"))*E181</f>
        <v>0</v>
      </c>
      <c r="P194" s="130"/>
      <c r="Q194" s="459"/>
    </row>
    <row r="195" spans="4:17" ht="18.75" x14ac:dyDescent="0.3">
      <c r="D195" s="460" t="s">
        <v>76</v>
      </c>
      <c r="E195" s="460"/>
      <c r="F195" s="460" t="s">
        <v>74</v>
      </c>
      <c r="G195" s="460" t="s">
        <v>73</v>
      </c>
      <c r="H195" s="460" t="s">
        <v>3</v>
      </c>
      <c r="I195" s="462" t="s">
        <v>77</v>
      </c>
      <c r="J195" s="460" t="s">
        <v>78</v>
      </c>
      <c r="K195" s="462" t="s">
        <v>79</v>
      </c>
      <c r="M195" s="131"/>
      <c r="N195" s="132" t="e">
        <f>N186+N191</f>
        <v>#REF!</v>
      </c>
      <c r="O195" s="132" t="e">
        <f>O186+O191</f>
        <v>#REF!</v>
      </c>
      <c r="P195" s="133" t="e">
        <f>1-(N195/O195)</f>
        <v>#REF!</v>
      </c>
    </row>
    <row r="196" spans="4:17" ht="26.85" customHeight="1" x14ac:dyDescent="0.2">
      <c r="D196" s="461"/>
      <c r="E196" s="461"/>
      <c r="F196" s="461"/>
      <c r="G196" s="461"/>
      <c r="H196" s="461"/>
      <c r="I196" s="463"/>
      <c r="J196" s="461"/>
      <c r="K196" s="463"/>
    </row>
    <row r="197" spans="4:17" ht="21" x14ac:dyDescent="0.25">
      <c r="D197" s="42"/>
      <c r="E197" s="42"/>
      <c r="F197" s="42"/>
      <c r="G197" s="42"/>
      <c r="H197" s="42"/>
      <c r="I197" s="43"/>
      <c r="J197" s="43"/>
      <c r="K197" s="43"/>
    </row>
    <row r="198" spans="4:17" ht="23.25" x14ac:dyDescent="0.35">
      <c r="D198" s="456" t="s">
        <v>80</v>
      </c>
      <c r="E198" s="456"/>
      <c r="F198" s="456"/>
      <c r="G198" s="456"/>
      <c r="H198" s="456"/>
      <c r="I198" s="43"/>
      <c r="J198" s="43"/>
      <c r="K198" s="43"/>
      <c r="N198" s="77" t="e">
        <f>J179-N195</f>
        <v>#REF!</v>
      </c>
    </row>
    <row r="199" spans="4:17" x14ac:dyDescent="0.2">
      <c r="D199" s="455" t="s">
        <v>166</v>
      </c>
      <c r="E199" s="455"/>
      <c r="F199" s="451">
        <f>H36+H49-(H36+H49)*E181</f>
        <v>141388.51428571431</v>
      </c>
      <c r="G199" s="451">
        <f>J36+J49</f>
        <v>98971.959999999992</v>
      </c>
      <c r="H199" s="453">
        <f>1-(G199/F199)</f>
        <v>0.30000000000000016</v>
      </c>
      <c r="I199" s="453" t="e">
        <f>G199/$G$218</f>
        <v>#REF!</v>
      </c>
      <c r="J199" s="442">
        <f>G199/$C$7/$C$18</f>
        <v>11.391800184162063</v>
      </c>
      <c r="K199" s="442">
        <f>F199/$C$7/$C$18</f>
        <v>16.274000263088663</v>
      </c>
    </row>
    <row r="200" spans="4:17" x14ac:dyDescent="0.2">
      <c r="D200" s="455"/>
      <c r="E200" s="455"/>
      <c r="F200" s="452"/>
      <c r="G200" s="452"/>
      <c r="H200" s="454"/>
      <c r="I200" s="454"/>
      <c r="J200" s="443"/>
      <c r="K200" s="443"/>
    </row>
    <row r="201" spans="4:17" x14ac:dyDescent="0.2">
      <c r="D201" s="455" t="s">
        <v>81</v>
      </c>
      <c r="E201" s="455"/>
      <c r="F201" s="451">
        <f>H169-H169*E181</f>
        <v>3540409.9999999995</v>
      </c>
      <c r="G201" s="451">
        <f>J169</f>
        <v>2641220</v>
      </c>
      <c r="H201" s="453">
        <f>1-(G201/F201)</f>
        <v>0.25397905892255412</v>
      </c>
      <c r="I201" s="453" t="e">
        <f>G201/$G$218</f>
        <v>#REF!</v>
      </c>
      <c r="J201" s="442">
        <f>G201/$C$7/$C$18</f>
        <v>304.00782688766111</v>
      </c>
      <c r="K201" s="442">
        <f>F201/$C$7/$C$18</f>
        <v>407.50575506445665</v>
      </c>
    </row>
    <row r="202" spans="4:17" x14ac:dyDescent="0.2">
      <c r="D202" s="455"/>
      <c r="E202" s="455"/>
      <c r="F202" s="452"/>
      <c r="G202" s="452"/>
      <c r="H202" s="454"/>
      <c r="I202" s="454"/>
      <c r="J202" s="443"/>
      <c r="K202" s="443"/>
    </row>
    <row r="203" spans="4:17" x14ac:dyDescent="0.2">
      <c r="D203" s="455" t="s">
        <v>162</v>
      </c>
      <c r="E203" s="455"/>
      <c r="F203" s="451" t="e">
        <f>H160+H176-(H160+H176)*E181</f>
        <v>#REF!</v>
      </c>
      <c r="G203" s="451" t="e">
        <f>J160+J176</f>
        <v>#REF!</v>
      </c>
      <c r="H203" s="453" t="e">
        <f>1-(G203/F203)</f>
        <v>#REF!</v>
      </c>
      <c r="I203" s="453" t="e">
        <f>G203/$G$218</f>
        <v>#REF!</v>
      </c>
      <c r="J203" s="442" t="e">
        <f>G203/$C$7/$C$18</f>
        <v>#REF!</v>
      </c>
      <c r="K203" s="442" t="e">
        <f>F203/$C$7/$C$18</f>
        <v>#REF!</v>
      </c>
    </row>
    <row r="204" spans="4:17" x14ac:dyDescent="0.2">
      <c r="D204" s="455"/>
      <c r="E204" s="455"/>
      <c r="F204" s="452"/>
      <c r="G204" s="452"/>
      <c r="H204" s="454"/>
      <c r="I204" s="454"/>
      <c r="J204" s="443"/>
      <c r="K204" s="443"/>
    </row>
    <row r="205" spans="4:17" x14ac:dyDescent="0.2">
      <c r="D205" s="438" t="s">
        <v>163</v>
      </c>
      <c r="E205" s="438"/>
      <c r="F205" s="444" t="e">
        <f>SUM(F199:F204)</f>
        <v>#REF!</v>
      </c>
      <c r="G205" s="444" t="e">
        <f>SUM(G199:G204)</f>
        <v>#REF!</v>
      </c>
      <c r="H205" s="446" t="e">
        <f>1-(G205/F205)</f>
        <v>#REF!</v>
      </c>
      <c r="I205" s="446" t="e">
        <f>G205/$G$218</f>
        <v>#REF!</v>
      </c>
      <c r="J205" s="448" t="e">
        <f>G205/$C$7/$C$18</f>
        <v>#REF!</v>
      </c>
      <c r="K205" s="448" t="e">
        <f>F205/$C$7/$C$18</f>
        <v>#REF!</v>
      </c>
    </row>
    <row r="206" spans="4:17" x14ac:dyDescent="0.2">
      <c r="D206" s="438"/>
      <c r="E206" s="438"/>
      <c r="F206" s="445"/>
      <c r="G206" s="445"/>
      <c r="H206" s="447"/>
      <c r="I206" s="447"/>
      <c r="J206" s="449"/>
      <c r="K206" s="449"/>
    </row>
    <row r="207" spans="4:17" x14ac:dyDescent="0.2">
      <c r="D207" s="4"/>
      <c r="E207" s="4"/>
    </row>
    <row r="208" spans="4:17" x14ac:dyDescent="0.2">
      <c r="D208" s="4"/>
      <c r="E208" s="4"/>
    </row>
    <row r="209" spans="4:11" x14ac:dyDescent="0.2">
      <c r="D209" s="455" t="s">
        <v>84</v>
      </c>
      <c r="E209" s="455"/>
      <c r="F209" s="451" t="e">
        <f>H64+H72+H79+H95+H111+H148-(H64+H72+H79+H95+H111+H148)*E181</f>
        <v>#REF!</v>
      </c>
      <c r="G209" s="451" t="e">
        <f>J64+J72+J79+J95+J111+J148</f>
        <v>#REF!</v>
      </c>
      <c r="H209" s="453" t="e">
        <f>1-(G209/F209)</f>
        <v>#REF!</v>
      </c>
      <c r="I209" s="453" t="e">
        <f>G209/$G$218</f>
        <v>#REF!</v>
      </c>
      <c r="J209" s="442" t="e">
        <f>G209/$C$7/$C$18</f>
        <v>#REF!</v>
      </c>
      <c r="K209" s="442" t="e">
        <f>F209/$C$7/$C$18</f>
        <v>#REF!</v>
      </c>
    </row>
    <row r="210" spans="4:11" x14ac:dyDescent="0.2">
      <c r="D210" s="455"/>
      <c r="E210" s="455"/>
      <c r="F210" s="452"/>
      <c r="G210" s="452"/>
      <c r="H210" s="454"/>
      <c r="I210" s="454"/>
      <c r="J210" s="443"/>
      <c r="K210" s="443"/>
    </row>
    <row r="211" spans="4:11" x14ac:dyDescent="0.2">
      <c r="D211" s="455" t="s">
        <v>86</v>
      </c>
      <c r="E211" s="455"/>
      <c r="F211" s="451" t="e">
        <f>H124+H137-(H124+H137)*E181</f>
        <v>#REF!</v>
      </c>
      <c r="G211" s="451" t="e">
        <f>J124+J137</f>
        <v>#REF!</v>
      </c>
      <c r="H211" s="453" t="e">
        <f>1-(G211/F211)</f>
        <v>#REF!</v>
      </c>
      <c r="I211" s="453" t="e">
        <f>G211/$G$218</f>
        <v>#REF!</v>
      </c>
      <c r="J211" s="442" t="e">
        <f>G211/$C$7/$C$18</f>
        <v>#REF!</v>
      </c>
      <c r="K211" s="442" t="e">
        <f>F211/$C$7/$C$18</f>
        <v>#REF!</v>
      </c>
    </row>
    <row r="212" spans="4:11" x14ac:dyDescent="0.2">
      <c r="D212" s="455"/>
      <c r="E212" s="455"/>
      <c r="F212" s="452"/>
      <c r="G212" s="452"/>
      <c r="H212" s="454"/>
      <c r="I212" s="454"/>
      <c r="J212" s="443"/>
      <c r="K212" s="443"/>
    </row>
    <row r="213" spans="4:11" x14ac:dyDescent="0.2">
      <c r="D213" s="450" t="s">
        <v>164</v>
      </c>
      <c r="E213" s="450"/>
      <c r="F213" s="451" t="e">
        <f>H56-H56*E181</f>
        <v>#REF!</v>
      </c>
      <c r="G213" s="451" t="e">
        <f>J56</f>
        <v>#REF!</v>
      </c>
      <c r="H213" s="453" t="e">
        <f>1-(G213/F213)</f>
        <v>#REF!</v>
      </c>
      <c r="I213" s="453" t="e">
        <f>G213/$G$218</f>
        <v>#REF!</v>
      </c>
      <c r="J213" s="442" t="e">
        <f>G213/$C$7/$C$18</f>
        <v>#REF!</v>
      </c>
      <c r="K213" s="442" t="e">
        <f>F213/$C$7/$C$18</f>
        <v>#REF!</v>
      </c>
    </row>
    <row r="214" spans="4:11" x14ac:dyDescent="0.2">
      <c r="D214" s="450"/>
      <c r="E214" s="450"/>
      <c r="F214" s="452"/>
      <c r="G214" s="452"/>
      <c r="H214" s="454"/>
      <c r="I214" s="454"/>
      <c r="J214" s="443"/>
      <c r="K214" s="443"/>
    </row>
    <row r="215" spans="4:11" x14ac:dyDescent="0.2">
      <c r="D215" s="438" t="s">
        <v>163</v>
      </c>
      <c r="E215" s="438"/>
      <c r="F215" s="444" t="e">
        <f>SUM(F209:F214)</f>
        <v>#REF!</v>
      </c>
      <c r="G215" s="444" t="e">
        <f>SUM(G209:G214)</f>
        <v>#REF!</v>
      </c>
      <c r="H215" s="446" t="e">
        <f>1-(G215/F215)</f>
        <v>#REF!</v>
      </c>
      <c r="I215" s="446" t="e">
        <f>G215/$G$218</f>
        <v>#REF!</v>
      </c>
      <c r="J215" s="448" t="e">
        <f>G215/$C$7/$C$18</f>
        <v>#REF!</v>
      </c>
      <c r="K215" s="448" t="e">
        <f>F215/$C$7/$C$18</f>
        <v>#REF!</v>
      </c>
    </row>
    <row r="216" spans="4:11" x14ac:dyDescent="0.2">
      <c r="D216" s="438"/>
      <c r="E216" s="438"/>
      <c r="F216" s="445"/>
      <c r="G216" s="445"/>
      <c r="H216" s="447"/>
      <c r="I216" s="447"/>
      <c r="J216" s="449"/>
      <c r="K216" s="449"/>
    </row>
    <row r="217" spans="4:11" ht="15" x14ac:dyDescent="0.25">
      <c r="D217"/>
      <c r="E217"/>
      <c r="F217"/>
      <c r="G217"/>
      <c r="H217"/>
      <c r="I217"/>
      <c r="J217"/>
      <c r="K217"/>
    </row>
    <row r="218" spans="4:11" ht="21" x14ac:dyDescent="0.35">
      <c r="D218" s="441" t="s">
        <v>167</v>
      </c>
      <c r="E218" s="441"/>
      <c r="F218" s="44" t="e">
        <f>F205+F215</f>
        <v>#REF!</v>
      </c>
      <c r="G218" s="44" t="e">
        <f>G205+G215</f>
        <v>#REF!</v>
      </c>
      <c r="H218" s="45" t="e">
        <f>1-(G218/F218)</f>
        <v>#REF!</v>
      </c>
      <c r="I218" s="45" t="e">
        <f>I205+I215</f>
        <v>#REF!</v>
      </c>
      <c r="J218" s="46" t="e">
        <f>J205+J215</f>
        <v>#REF!</v>
      </c>
      <c r="K218" s="46" t="e">
        <f>K205+K215</f>
        <v>#REF!</v>
      </c>
    </row>
    <row r="219" spans="4:11" ht="15" x14ac:dyDescent="0.25">
      <c r="D219" s="438" t="s">
        <v>82</v>
      </c>
      <c r="E219" s="438"/>
      <c r="F219" s="439">
        <f>E164+E165</f>
        <v>905</v>
      </c>
      <c r="G219" s="439" t="s">
        <v>71</v>
      </c>
      <c r="H219"/>
      <c r="I219"/>
      <c r="J219"/>
      <c r="K219"/>
    </row>
    <row r="220" spans="4:11" ht="15" x14ac:dyDescent="0.25">
      <c r="D220" s="438"/>
      <c r="E220" s="438"/>
      <c r="F220" s="440"/>
      <c r="G220" s="440"/>
      <c r="H220"/>
      <c r="I220"/>
      <c r="J220"/>
      <c r="K220"/>
    </row>
    <row r="221" spans="4:11" ht="15" x14ac:dyDescent="0.25">
      <c r="D221" s="438" t="s">
        <v>83</v>
      </c>
      <c r="E221" s="438"/>
      <c r="F221" s="439">
        <f>C7</f>
        <v>362</v>
      </c>
      <c r="G221" s="439" t="s">
        <v>2</v>
      </c>
      <c r="H221"/>
      <c r="I221"/>
      <c r="J221"/>
      <c r="K221" s="47"/>
    </row>
    <row r="222" spans="4:11" ht="15" x14ac:dyDescent="0.25">
      <c r="D222" s="438"/>
      <c r="E222" s="438"/>
      <c r="F222" s="440"/>
      <c r="G222" s="440"/>
      <c r="H222"/>
      <c r="I222"/>
      <c r="J222"/>
      <c r="K222"/>
    </row>
    <row r="223" spans="4:11" ht="15" x14ac:dyDescent="0.25">
      <c r="D223" s="438" t="s">
        <v>85</v>
      </c>
      <c r="E223" s="438"/>
      <c r="F223" s="439">
        <f>C18</f>
        <v>24</v>
      </c>
      <c r="G223" s="439" t="s">
        <v>165</v>
      </c>
      <c r="H223"/>
      <c r="I223"/>
      <c r="J223"/>
      <c r="K223"/>
    </row>
    <row r="224" spans="4:11" x14ac:dyDescent="0.2">
      <c r="D224" s="438"/>
      <c r="E224" s="438"/>
      <c r="F224" s="440"/>
      <c r="G224" s="440"/>
      <c r="H224" s="5"/>
      <c r="I224" s="5"/>
      <c r="J224" s="5"/>
      <c r="K224" s="5"/>
    </row>
  </sheetData>
  <mergeCells count="83">
    <mergeCell ref="A113:L113"/>
    <mergeCell ref="A1:K1"/>
    <mergeCell ref="A4:A20"/>
    <mergeCell ref="B4:C4"/>
    <mergeCell ref="A22:L22"/>
    <mergeCell ref="A24:L24"/>
    <mergeCell ref="A149:L149"/>
    <mergeCell ref="Q186:Q190"/>
    <mergeCell ref="Q191:Q194"/>
    <mergeCell ref="D195:E196"/>
    <mergeCell ref="F195:F196"/>
    <mergeCell ref="G195:G196"/>
    <mergeCell ref="H195:H196"/>
    <mergeCell ref="I195:I196"/>
    <mergeCell ref="J195:J196"/>
    <mergeCell ref="K195:K196"/>
    <mergeCell ref="D198:H198"/>
    <mergeCell ref="D199:E200"/>
    <mergeCell ref="F199:F200"/>
    <mergeCell ref="G199:G200"/>
    <mergeCell ref="H199:H200"/>
    <mergeCell ref="J199:J200"/>
    <mergeCell ref="K199:K200"/>
    <mergeCell ref="D201:E202"/>
    <mergeCell ref="F201:F202"/>
    <mergeCell ref="G201:G202"/>
    <mergeCell ref="H201:H202"/>
    <mergeCell ref="I201:I202"/>
    <mergeCell ref="J201:J202"/>
    <mergeCell ref="K201:K202"/>
    <mergeCell ref="I199:I200"/>
    <mergeCell ref="K203:K204"/>
    <mergeCell ref="D205:E206"/>
    <mergeCell ref="F205:F206"/>
    <mergeCell ref="G205:G206"/>
    <mergeCell ref="H205:H206"/>
    <mergeCell ref="I205:I206"/>
    <mergeCell ref="J205:J206"/>
    <mergeCell ref="K205:K206"/>
    <mergeCell ref="D203:E204"/>
    <mergeCell ref="F203:F204"/>
    <mergeCell ref="G203:G204"/>
    <mergeCell ref="H203:H204"/>
    <mergeCell ref="I203:I204"/>
    <mergeCell ref="J203:J204"/>
    <mergeCell ref="K209:K210"/>
    <mergeCell ref="D211:E212"/>
    <mergeCell ref="F211:F212"/>
    <mergeCell ref="G211:G212"/>
    <mergeCell ref="H211:H212"/>
    <mergeCell ref="I211:I212"/>
    <mergeCell ref="J211:J212"/>
    <mergeCell ref="K211:K212"/>
    <mergeCell ref="D209:E210"/>
    <mergeCell ref="F209:F210"/>
    <mergeCell ref="G209:G210"/>
    <mergeCell ref="H209:H210"/>
    <mergeCell ref="I209:I210"/>
    <mergeCell ref="J209:J210"/>
    <mergeCell ref="K213:K214"/>
    <mergeCell ref="D215:E216"/>
    <mergeCell ref="F215:F216"/>
    <mergeCell ref="G215:G216"/>
    <mergeCell ref="H215:H216"/>
    <mergeCell ref="I215:I216"/>
    <mergeCell ref="J215:J216"/>
    <mergeCell ref="K215:K216"/>
    <mergeCell ref="D213:E214"/>
    <mergeCell ref="F213:F214"/>
    <mergeCell ref="G213:G214"/>
    <mergeCell ref="H213:H214"/>
    <mergeCell ref="I213:I214"/>
    <mergeCell ref="J213:J214"/>
    <mergeCell ref="D223:E224"/>
    <mergeCell ref="F223:F224"/>
    <mergeCell ref="G223:G224"/>
    <mergeCell ref="D218:E218"/>
    <mergeCell ref="D219:E220"/>
    <mergeCell ref="F219:F220"/>
    <mergeCell ref="G219:G220"/>
    <mergeCell ref="D221:E222"/>
    <mergeCell ref="F221:F222"/>
    <mergeCell ref="G221:G222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AAA03D9-9294-4846-9C9F-7585BED814C6}">
  <ds:schemaRefs/>
</ds:datastoreItem>
</file>

<file path=customXml/itemProps2.xml><?xml version="1.0" encoding="utf-8"?>
<ds:datastoreItem xmlns:ds="http://schemas.openxmlformats.org/officeDocument/2006/customXml" ds:itemID="{E1C117BD-CC39-4C2E-B165-56EE5D7253CA}">
  <ds:schemaRefs/>
</ds:datastoreItem>
</file>

<file path=customXml/itemProps3.xml><?xml version="1.0" encoding="utf-8"?>
<ds:datastoreItem xmlns:ds="http://schemas.openxmlformats.org/officeDocument/2006/customXml" ds:itemID="{FD4A4533-F440-4D0B-BCFA-820EFD35435A}">
  <ds:schemaRefs/>
</ds:datastoreItem>
</file>

<file path=customXml/itemProps4.xml><?xml version="1.0" encoding="utf-8"?>
<ds:datastoreItem xmlns:ds="http://schemas.openxmlformats.org/officeDocument/2006/customXml" ds:itemID="{8D11A897-E61C-49D4-BF8A-3CEBB0830B90}">
  <ds:schemaRefs/>
</ds:datastoreItem>
</file>

<file path=customXml/itemProps5.xml><?xml version="1.0" encoding="utf-8"?>
<ds:datastoreItem xmlns:ds="http://schemas.openxmlformats.org/officeDocument/2006/customXml" ds:itemID="{A696F650-EEDF-4DF4-B5D0-55D2FFCDAA39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A7F7E989-6337-43AF-9EFB-C2E2F4AAC736}">
  <ds:schemaRefs/>
</ds:datastoreItem>
</file>

<file path=customXml/itemProps7.xml><?xml version="1.0" encoding="utf-8"?>
<ds:datastoreItem xmlns:ds="http://schemas.openxmlformats.org/officeDocument/2006/customXml" ds:itemID="{E4165BA7-E500-4B86-AFF0-17790296AA06}">
  <ds:schemaRefs/>
</ds:datastoreItem>
</file>

<file path=customXml/itemProps8.xml><?xml version="1.0" encoding="utf-8"?>
<ds:datastoreItem xmlns:ds="http://schemas.openxmlformats.org/officeDocument/2006/customXml" ds:itemID="{2346309B-135A-4B32-9008-05690003930E}">
  <ds:schemaRefs/>
</ds:datastoreItem>
</file>

<file path=customXml/itemProps9.xml><?xml version="1.0" encoding="utf-8"?>
<ds:datastoreItem xmlns:ds="http://schemas.openxmlformats.org/officeDocument/2006/customXml" ds:itemID="{2DA789E3-279C-4BD5-A1D2-0007B075E9D8}">
  <ds:schemaRefs/>
</ds:datastoreItem>
</file>

<file path=customXml/itemProps10.xml><?xml version="1.0" encoding="utf-8"?>
<ds:datastoreItem xmlns:ds="http://schemas.openxmlformats.org/officeDocument/2006/customXml" ds:itemID="{DACC48A6-C215-4CEF-A7E1-39DBDC783237}">
  <ds:schemaRefs/>
</ds:datastoreItem>
</file>

<file path=customXml/itemProps11.xml><?xml version="1.0" encoding="utf-8"?>
<ds:datastoreItem xmlns:ds="http://schemas.openxmlformats.org/officeDocument/2006/customXml" ds:itemID="{175629A0-789F-49D3-8B04-1ACB96DB6D11}">
  <ds:schemaRefs/>
</ds:datastoreItem>
</file>

<file path=customXml/itemProps12.xml><?xml version="1.0" encoding="utf-8"?>
<ds:datastoreItem xmlns:ds="http://schemas.openxmlformats.org/officeDocument/2006/customXml" ds:itemID="{3576AA77-59A4-4E44-8F31-9E6A83DFA1D6}">
  <ds:schemaRefs/>
</ds:datastoreItem>
</file>

<file path=customXml/itemProps13.xml><?xml version="1.0" encoding="utf-8"?>
<ds:datastoreItem xmlns:ds="http://schemas.openxmlformats.org/officeDocument/2006/customXml" ds:itemID="{22085103-5AF8-45F7-A921-D3F696718303}">
  <ds:schemaRefs/>
</ds:datastoreItem>
</file>

<file path=customXml/itemProps14.xml><?xml version="1.0" encoding="utf-8"?>
<ds:datastoreItem xmlns:ds="http://schemas.openxmlformats.org/officeDocument/2006/customXml" ds:itemID="{C6DAFE99-5876-4910-82FC-A29BE98B9CCE}">
  <ds:schemaRefs/>
</ds:datastoreItem>
</file>

<file path=customXml/itemProps15.xml><?xml version="1.0" encoding="utf-8"?>
<ds:datastoreItem xmlns:ds="http://schemas.openxmlformats.org/officeDocument/2006/customXml" ds:itemID="{DF192AA1-7927-4EF4-827F-286DF75CA5F5}">
  <ds:schemaRefs/>
</ds:datastoreItem>
</file>

<file path=customXml/itemProps16.xml><?xml version="1.0" encoding="utf-8"?>
<ds:datastoreItem xmlns:ds="http://schemas.openxmlformats.org/officeDocument/2006/customXml" ds:itemID="{1D259002-2AC0-4DBD-A4E0-1E7701504FA9}">
  <ds:schemaRefs/>
</ds:datastoreItem>
</file>

<file path=customXml/itemProps17.xml><?xml version="1.0" encoding="utf-8"?>
<ds:datastoreItem xmlns:ds="http://schemas.openxmlformats.org/officeDocument/2006/customXml" ds:itemID="{7579400C-4346-4D27-9A64-BC98282329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</vt:i4>
      </vt:variant>
    </vt:vector>
  </HeadingPairs>
  <TitlesOfParts>
    <vt:vector size="14" baseType="lpstr">
      <vt:lpstr>QTO</vt:lpstr>
      <vt:lpstr>QTO DB</vt:lpstr>
      <vt:lpstr>Margin Analysis</vt:lpstr>
      <vt:lpstr>Customer View</vt:lpstr>
      <vt:lpstr>FIELD SERVICES</vt:lpstr>
      <vt:lpstr>ZONAS PERU</vt:lpstr>
      <vt:lpstr>Resumen</vt:lpstr>
      <vt:lpstr>QTO Unlimited Service Plans</vt:lpstr>
      <vt:lpstr>CashFlow-HUGHES PRIME</vt:lpstr>
      <vt:lpstr>QTO EPAD SELVA - ITEM 1</vt:lpstr>
      <vt:lpstr>QTO EPAD SELVA - ITEM 2</vt:lpstr>
      <vt:lpstr>QTO EPAD SELVA - ITEM 3</vt:lpstr>
      <vt:lpstr>'Customer View'!Área_de_impresión</vt:lpstr>
      <vt:lpstr>QTO_DB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Asto, Juan</dc:creator>
  <cp:lastModifiedBy>Gabriel</cp:lastModifiedBy>
  <cp:lastPrinted>2024-01-23T21:48:55Z</cp:lastPrinted>
  <dcterms:created xsi:type="dcterms:W3CDTF">2022-06-16T16:01:14Z</dcterms:created>
  <dcterms:modified xsi:type="dcterms:W3CDTF">2025-07-24T21:04:20Z</dcterms:modified>
</cp:coreProperties>
</file>